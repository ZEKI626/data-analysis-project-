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zekiel\PB ceo\"/>
    </mc:Choice>
  </mc:AlternateContent>
  <xr:revisionPtr revIDLastSave="0" documentId="13_ncr:1_{888DA4F6-FAD0-4316-9885-16AF2FA7F1A0}" xr6:coauthVersionLast="47" xr6:coauthVersionMax="47" xr10:uidLastSave="{00000000-0000-0000-0000-000000000000}"/>
  <bookViews>
    <workbookView xWindow="-120" yWindow="-120" windowWidth="20730" windowHeight="11160" activeTab="1" xr2:uid="{F7D493FF-6CF7-4930-9EBE-154A9D901B44}"/>
  </bookViews>
  <sheets>
    <sheet name="Sheet2" sheetId="2" r:id="rId1"/>
    <sheet name="Sheet3" sheetId="3" r:id="rId2"/>
    <sheet name="Supply Chain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<sst xmlns="http://schemas.openxmlformats.org/spreadsheetml/2006/main" count="988" uniqueCount="162">
  <si>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</si>
  <si>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</si>
  <si>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</si>
  <si>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</si>
  <si>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</si>
  <si>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</si>
  <si>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</si>
  <si>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</si>
  <si>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</si>
  <si>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</si>
  <si>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</si>
  <si>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</si>
  <si>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</si>
  <si>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</si>
  <si>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</si>
  <si>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</si>
  <si>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</si>
  <si>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</si>
  <si>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</si>
  <si>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</si>
  <si>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</si>
  <si>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</si>
  <si>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</si>
  <si>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</si>
  <si>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</si>
  <si>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</si>
  <si>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</si>
  <si>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</si>
  <si>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</si>
  <si>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</si>
  <si>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</si>
  <si>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</si>
  <si>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</si>
  <si>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</si>
  <si>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</si>
  <si>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</si>
  <si>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</si>
  <si>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</si>
  <si>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</si>
  <si>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</si>
  <si>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</si>
  <si>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</si>
  <si>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</si>
  <si>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</si>
  <si>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</si>
  <si>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</si>
  <si>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</si>
  <si>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</si>
  <si>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</si>
  <si>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</si>
  <si>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</si>
  <si>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</si>
  <si>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</si>
  <si>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</si>
  <si>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</si>
  <si>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</si>
  <si>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</si>
  <si>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</si>
  <si>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</si>
  <si>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</si>
  <si>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</si>
  <si>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</si>
  <si>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</si>
  <si>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</si>
  <si>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</si>
  <si>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</si>
  <si>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</si>
  <si>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</si>
  <si>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</si>
  <si>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</si>
  <si>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</si>
  <si>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</si>
  <si>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</si>
  <si>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</si>
  <si>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</si>
  <si>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</si>
  <si>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</si>
  <si>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</si>
  <si>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</si>
  <si>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</si>
  <si>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</si>
  <si>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</si>
  <si>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</si>
  <si>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</si>
  <si>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</si>
  <si>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</si>
  <si>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</si>
  <si>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</si>
  <si>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</si>
  <si>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</si>
  <si>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</si>
  <si>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</si>
  <si>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</si>
  <si>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</si>
  <si>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</si>
  <si>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</si>
  <si>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</si>
  <si>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</si>
  <si>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</si>
  <si>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</si>
  <si>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</si>
  <si>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</si>
  <si>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</si>
  <si>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</si>
  <si>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</si>
  <si>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</si>
  <si>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</si>
  <si>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</si>
  <si>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</si>
  <si>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</si>
  <si>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</si>
  <si>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</si>
  <si>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</si>
  <si>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</si>
  <si>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</si>
  <si>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</si>
  <si>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</si>
  <si>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</si>
  <si>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</si>
  <si>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</si>
  <si>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</si>
  <si>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</si>
  <si>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</si>
  <si>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</si>
  <si>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</si>
  <si>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</si>
  <si>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</si>
  <si>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</si>
  <si>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</si>
  <si>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</si>
  <si>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</si>
  <si>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</si>
  <si>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</si>
  <si>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</si>
  <si>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</si>
  <si>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</si>
  <si>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</si>
  <si>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</si>
  <si>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</si>
  <si>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</si>
  <si>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</si>
  <si>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</si>
  <si>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</si>
  <si>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</si>
  <si>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</si>
  <si>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</si>
  <si>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</si>
  <si>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</si>
  <si>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</si>
  <si>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</si>
  <si>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</si>
  <si>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</si>
  <si>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</si>
  <si>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</si>
  <si>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Row Labels</t>
  </si>
  <si>
    <t>Grand Total</t>
  </si>
  <si>
    <t>Sum of Costs</t>
  </si>
  <si>
    <t>Sum of Defect rates</t>
  </si>
  <si>
    <t>Column Labels</t>
  </si>
  <si>
    <t>Sum of Revenue generated</t>
  </si>
  <si>
    <t>Sum of Shipping costs</t>
  </si>
  <si>
    <t>Sum of Stock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</si>
</sst>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Cost Distribution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Road</c:v>
                </c:pt>
                <c:pt idx="1">
                  <c:v>Rail</c:v>
                </c:pt>
                <c:pt idx="2">
                  <c:v>Air</c:v>
                </c:pt>
                <c:pt idx="3">
                  <c:v>Sea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16048.193638899997</c:v>
                </c:pt>
                <c:pt idx="1">
                  <c:v>15168.931558400001</c:v>
                </c:pt>
                <c:pt idx="2">
                  <c:v>14604.5274976</c:v>
                </c:pt>
                <c:pt idx="3">
                  <c:v>7102.925520499999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C-4CAC-9A86-6CC593E48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501664"/>
        <c:axId val="1123490016"/>
      </c:barChart>
      <c:catAx>
        <c:axId val="11235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90016"/>
        <c:crosses val="autoZero"/>
        <c:auto val="1"/>
        <c:lblAlgn val="ctr"/>
        <c:lblOffset val="100"/>
        <c:noMultiLvlLbl val="0"/>
      </c:catAx>
      <c:valAx>
        <c:axId val="11234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0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Sheet2!$B$14:$B$15</c:f>
              <c:strCache>
                <c:ptCount val="1"/>
                <c:pt idx="0">
                  <c:v>cosmetics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Sheet2!$A$16:$A$20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Sheet2!$B$16:$B$20</c:f>
              <c:numCache>
                <c:formatCode>General</c:formatCode>
                <c:ptCount val="4"/>
                <c:pt idx="0">
                  <c:v>1.996906316</c:v>
                </c:pt>
                <c:pt idx="1">
                  <c:v>19.429569194999999</c:v>
                </c:pt>
                <c:pt idx="2">
                  <c:v>16.222049477999999</c:v>
                </c:pt>
                <c:pt idx="3">
                  <c:v>12.252936445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4-405F-82A9-C0F85FD5BCBF}"/>
            </c:ext>
          </c:extLst>
        </c:ser>
        <c:ser>
          <c:idx val="1"/>
          <c:order val="1"/>
          <c:tx>
            <c:strRef>
              <c:f>Sheet2!$C$14:$C$15</c:f>
              <c:strCache>
                <c:ptCount val="1"/>
                <c:pt idx="0">
                  <c:v>haircare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Sheet2!$A$16:$A$20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Sheet2!$C$16:$C$20</c:f>
              <c:numCache>
                <c:formatCode>General</c:formatCode>
                <c:ptCount val="4"/>
                <c:pt idx="0">
                  <c:v>23.397670347000002</c:v>
                </c:pt>
                <c:pt idx="1">
                  <c:v>19.593179654</c:v>
                </c:pt>
                <c:pt idx="2">
                  <c:v>26.86477867</c:v>
                </c:pt>
                <c:pt idx="3">
                  <c:v>14.571477890000001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D4-405F-82A9-C0F85FD5BCBF}"/>
            </c:ext>
          </c:extLst>
        </c:ser>
        <c:ser>
          <c:idx val="2"/>
          <c:order val="2"/>
          <c:tx>
            <c:strRef>
              <c:f>Sheet2!$D$14:$D$15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Sheet2!$A$16:$A$20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Sheet2!$D$16:$D$20</c:f>
              <c:numCache>
                <c:formatCode>General</c:formatCode>
                <c:ptCount val="4"/>
                <c:pt idx="0">
                  <c:v>22.027435524999998</c:v>
                </c:pt>
                <c:pt idx="1">
                  <c:v>25.904040590000001</c:v>
                </c:pt>
                <c:pt idx="2">
                  <c:v>32.920387504000004</c:v>
                </c:pt>
                <c:pt idx="3">
                  <c:v>12.535367660000002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D4-405F-82A9-C0F85FD5B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054816"/>
        <c:axId val="1199040672"/>
      </c:barChart>
      <c:catAx>
        <c:axId val="11990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40672"/>
        <c:crosses val="autoZero"/>
        <c:auto val="1"/>
        <c:lblAlgn val="ctr"/>
        <c:lblOffset val="100"/>
        <c:noMultiLvlLbl val="0"/>
      </c:catAx>
      <c:valAx>
        <c:axId val="11990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5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Generated By Shipping Carriers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BA-4137-A9D2-7B34AD228D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BA-4137-A9D2-7B34AD228D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BA-4137-A9D2-7B34AD228D5E}"/>
              </c:ext>
            </c:extLst>
          </c:dPt>
          <c:cat>
            <c:strRef>
              <c:f>Sheet2!$A$28:$A$31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Sheet2!$B$28:$B$31</c:f>
              <c:numCache>
                <c:formatCode>General</c:formatCode>
                <c:ptCount val="3"/>
                <c:pt idx="0">
                  <c:v>142629.99460700003</c:v>
                </c:pt>
                <c:pt idx="1">
                  <c:v>250094.64698799999</c:v>
                </c:pt>
                <c:pt idx="2">
                  <c:v>184880.17714500002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7-4306-873B-6DCD7244D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Percentage Of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52-4206-AB4E-0CADD16A16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52-4206-AB4E-0CADD16A16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52-4206-AB4E-0CADD16A16C7}"/>
              </c:ext>
            </c:extLst>
          </c:dPt>
          <c:cat>
            <c:strRef>
              <c:f>Sheet2!$A$38:$A$41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Sheet2!$B$38:$B$41</c:f>
              <c:numCache>
                <c:formatCode>General</c:formatCode>
                <c:ptCount val="3"/>
                <c:pt idx="0">
                  <c:v>161521.26600100004</c:v>
                </c:pt>
                <c:pt idx="1">
                  <c:v>174455.390606</c:v>
                </c:pt>
                <c:pt idx="2">
                  <c:v>241628.16213300003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7-4755-84AC-1C837848C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Shipping Cost By Carrier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C8-49C9-8FBF-CBC3D80A6C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C8-49C9-8FBF-CBC3D80A6C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C8-49C9-8FBF-CBC3D80A6C8F}"/>
              </c:ext>
            </c:extLst>
          </c:dPt>
          <c:cat>
            <c:strRef>
              <c:f>Sheet2!$A$48:$A$51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Sheet2!$B$48:$B$51</c:f>
              <c:numCache>
                <c:formatCode>General</c:formatCode>
                <c:ptCount val="3"/>
                <c:pt idx="0">
                  <c:v>155.53783060800001</c:v>
                </c:pt>
                <c:pt idx="1">
                  <c:v>236.89761966100002</c:v>
                </c:pt>
                <c:pt idx="2">
                  <c:v>162.37945693099994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B-4039-9A10-5F98B7EC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20 Stock Keeping Unit By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Sheet2!$B$57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Sheet2!$A$58:$A$68</c:f>
              <c:strCache>
                <c:ptCount val="10"/>
                <c:pt idx="0">
                  <c:v>SKU51</c:v>
                </c:pt>
                <c:pt idx="1">
                  <c:v>SKU38</c:v>
                </c:pt>
                <c:pt idx="2">
                  <c:v>SKU31</c:v>
                </c:pt>
                <c:pt idx="3">
                  <c:v>SKU90</c:v>
                </c:pt>
                <c:pt idx="4">
                  <c:v>SKU2</c:v>
                </c:pt>
                <c:pt idx="5">
                  <c:v>SKU32</c:v>
                </c:pt>
                <c:pt idx="6">
                  <c:v>SKU67</c:v>
                </c:pt>
                <c:pt idx="7">
                  <c:v>SKU88</c:v>
                </c:pt>
                <c:pt idx="8">
                  <c:v>SKU52</c:v>
                </c:pt>
                <c:pt idx="9">
                  <c:v>SKU18</c:v>
                </c:pt>
              </c:strCache>
            </c:strRef>
          </c:cat>
          <c:val>
            <c:numRef>
              <c:f>Sheet2!$B$58:$B$68</c:f>
              <c:numCache>
                <c:formatCode>General</c:formatCode>
                <c:ptCount val="10"/>
                <c:pt idx="0">
                  <c:v>9866.4654580000006</c:v>
                </c:pt>
                <c:pt idx="1">
                  <c:v>9692.3180400000001</c:v>
                </c:pt>
                <c:pt idx="2">
                  <c:v>9655.1351030000005</c:v>
                </c:pt>
                <c:pt idx="3">
                  <c:v>9592.63357</c:v>
                </c:pt>
                <c:pt idx="4">
                  <c:v>9577.7496260000007</c:v>
                </c:pt>
                <c:pt idx="5">
                  <c:v>9571.5504870000004</c:v>
                </c:pt>
                <c:pt idx="6">
                  <c:v>9473.7980329999991</c:v>
                </c:pt>
                <c:pt idx="7">
                  <c:v>9444.7420330000004</c:v>
                </c:pt>
                <c:pt idx="8">
                  <c:v>9435.7626089999994</c:v>
                </c:pt>
                <c:pt idx="9">
                  <c:v>9364.6735050000007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E-429A-AC99-995140ACA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486688"/>
        <c:axId val="1123488352"/>
      </c:lineChart>
      <c:catAx>
        <c:axId val="112348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88352"/>
        <c:crosses val="autoZero"/>
        <c:auto val="1"/>
        <c:lblAlgn val="ctr"/>
        <c:lblOffset val="100"/>
        <c:noMultiLvlLbl val="0"/>
      </c:catAx>
      <c:valAx>
        <c:axId val="112348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20 Stock Keeping Unit By Stock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Sheet2!$B$74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Sheet2!$A$75:$A$86</c:f>
              <c:strCache>
                <c:ptCount val="11"/>
                <c:pt idx="0">
                  <c:v>SKU12</c:v>
                </c:pt>
                <c:pt idx="1">
                  <c:v>SKU45</c:v>
                </c:pt>
                <c:pt idx="2">
                  <c:v>SKU49</c:v>
                </c:pt>
                <c:pt idx="3">
                  <c:v>SKU51</c:v>
                </c:pt>
                <c:pt idx="4">
                  <c:v>SKU53</c:v>
                </c:pt>
                <c:pt idx="5">
                  <c:v>SKU55</c:v>
                </c:pt>
                <c:pt idx="6">
                  <c:v>SKU59</c:v>
                </c:pt>
                <c:pt idx="7">
                  <c:v>SKU69</c:v>
                </c:pt>
                <c:pt idx="8">
                  <c:v>SKU7</c:v>
                </c:pt>
                <c:pt idx="9">
                  <c:v>SKU77</c:v>
                </c:pt>
                <c:pt idx="10">
                  <c:v>SKU91</c:v>
                </c:pt>
              </c:strCache>
            </c:strRef>
          </c:cat>
          <c:val>
            <c:numRef>
              <c:f>Sheet2!$B$75:$B$86</c:f>
              <c:numCache>
                <c:formatCode>General</c:formatCode>
                <c:ptCount val="11"/>
                <c:pt idx="0">
                  <c:v>100</c:v>
                </c:pt>
                <c:pt idx="1">
                  <c:v>93</c:v>
                </c:pt>
                <c:pt idx="2">
                  <c:v>97</c:v>
                </c:pt>
                <c:pt idx="3">
                  <c:v>100</c:v>
                </c:pt>
                <c:pt idx="4">
                  <c:v>96</c:v>
                </c:pt>
                <c:pt idx="5">
                  <c:v>97</c:v>
                </c:pt>
                <c:pt idx="6">
                  <c:v>100</c:v>
                </c:pt>
                <c:pt idx="7">
                  <c:v>95</c:v>
                </c:pt>
                <c:pt idx="8">
                  <c:v>93</c:v>
                </c:pt>
                <c:pt idx="9">
                  <c:v>96</c:v>
                </c:pt>
                <c:pt idx="10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7-4045-9121-068364686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521536"/>
        <c:axId val="1034519872"/>
      </c:lineChart>
      <c:catAx>
        <c:axId val="103452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19872"/>
        <c:crosses val="autoZero"/>
        <c:auto val="1"/>
        <c:lblAlgn val="ctr"/>
        <c:lblOffset val="100"/>
        <c:noMultiLvlLbl val="0"/>
      </c:catAx>
      <c:valAx>
        <c:axId val="10345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2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Distribution By Transportation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BE-4415-8EF2-BF59FA7ACA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BE-4415-8EF2-BF59FA7ACA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BE-4415-8EF2-BF59FA7ACA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BE-4415-8EF2-BF59FA7ACAA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Road</c:v>
                </c:pt>
                <c:pt idx="1">
                  <c:v>Rail</c:v>
                </c:pt>
                <c:pt idx="2">
                  <c:v>Air</c:v>
                </c:pt>
                <c:pt idx="3">
                  <c:v>Sea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16048.193638899997</c:v>
                </c:pt>
                <c:pt idx="1">
                  <c:v>15168.931558400001</c:v>
                </c:pt>
                <c:pt idx="2">
                  <c:v>14604.5274976</c:v>
                </c:pt>
                <c:pt idx="3">
                  <c:v>7102.925520499999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F-4CA1-9D54-46A6163521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Chain.xlsx]Sheet2!PivotTable2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Sheet2!$B$14:$B$15</c:f>
              <c:strCache>
                <c:ptCount val="1"/>
                <c:pt idx="0">
                  <c:v>cosmetics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Sheet2!$A$16:$A$20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Sheet2!$B$16:$B$20</c:f>
              <c:numCache>
                <c:formatCode>General</c:formatCode>
                <c:ptCount val="4"/>
                <c:pt idx="0">
                  <c:v>1.996906316</c:v>
                </c:pt>
                <c:pt idx="1">
                  <c:v>19.429569194999999</c:v>
                </c:pt>
                <c:pt idx="2">
                  <c:v>16.222049477999999</c:v>
                </c:pt>
                <c:pt idx="3">
                  <c:v>12.252936445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97A-AFA1-307898677D56}"/>
            </c:ext>
          </c:extLst>
        </c:ser>
        <c:ser>
          <c:idx val="1"/>
          <c:order val="1"/>
          <c:tx>
            <c:strRef>
              <c:f>Sheet2!$C$14:$C$15</c:f>
              <c:strCache>
                <c:ptCount val="1"/>
                <c:pt idx="0">
                  <c:v>haircare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Sheet2!$A$16:$A$20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Sheet2!$C$16:$C$20</c:f>
              <c:numCache>
                <c:formatCode>General</c:formatCode>
                <c:ptCount val="4"/>
                <c:pt idx="0">
                  <c:v>23.397670347000002</c:v>
                </c:pt>
                <c:pt idx="1">
                  <c:v>19.593179654</c:v>
                </c:pt>
                <c:pt idx="2">
                  <c:v>26.86477867</c:v>
                </c:pt>
                <c:pt idx="3">
                  <c:v>14.571477890000001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97A-AFA1-307898677D56}"/>
            </c:ext>
          </c:extLst>
        </c:ser>
        <c:ser>
          <c:idx val="2"/>
          <c:order val="2"/>
          <c:tx>
            <c:strRef>
              <c:f>Sheet2!$D$14:$D$15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Sheet2!$A$16:$A$20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Sheet2!$D$16:$D$20</c:f>
              <c:numCache>
                <c:formatCode>General</c:formatCode>
                <c:ptCount val="4"/>
                <c:pt idx="0">
                  <c:v>22.027435524999998</c:v>
                </c:pt>
                <c:pt idx="1">
                  <c:v>25.904040590000001</c:v>
                </c:pt>
                <c:pt idx="2">
                  <c:v>32.920387504000004</c:v>
                </c:pt>
                <c:pt idx="3">
                  <c:v>12.535367660000002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97A-AFA1-307898677D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9054816"/>
        <c:axId val="1199040672"/>
      </c:barChart>
      <c:catAx>
        <c:axId val="119905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40672"/>
        <c:crosses val="autoZero"/>
        <c:auto val="1"/>
        <c:lblAlgn val="ctr"/>
        <c:lblOffset val="100"/>
        <c:noMultiLvlLbl val="0"/>
      </c:catAx>
      <c:valAx>
        <c:axId val="11990406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5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Generated Revenue By Shipping Carrier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numFmt formatCode="&quot;$&quot;#,##0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E6-45B8-9630-1592EA63A7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E6-45B8-9630-1592EA63A7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E6-45B8-9630-1592EA63A7D6}"/>
              </c:ext>
            </c:extLst>
          </c:dPt>
          <c:dLbls>
            <c:numFmt formatCode="&quot;$&quot;#,##0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Sheet2!$A$28:$A$31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Sheet2!$B$28:$B$31</c:f>
              <c:numCache>
                <c:formatCode>General</c:formatCode>
                <c:ptCount val="3"/>
                <c:pt idx="0">
                  <c:v>142629.99460700003</c:v>
                </c:pt>
                <c:pt idx="1">
                  <c:v>250094.64698799999</c:v>
                </c:pt>
                <c:pt idx="2">
                  <c:v>184880.17714500002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E6-45B8-9630-1592EA63A7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9E-41C1-93C6-D173103E12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9E-41C1-93C6-D173103E12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9E-41C1-93C6-D173103E12D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Sheet2!$A$38:$A$41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Sheet2!$B$38:$B$41</c:f>
              <c:numCache>
                <c:formatCode>General</c:formatCode>
                <c:ptCount val="3"/>
                <c:pt idx="0">
                  <c:v>161521.26600100004</c:v>
                </c:pt>
                <c:pt idx="1">
                  <c:v>174455.390606</c:v>
                </c:pt>
                <c:pt idx="2">
                  <c:v>241628.16213300003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9E-41C1-93C6-D173103E12D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Cost By Carrier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83-4363-97C1-3BC2518128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83-4363-97C1-3BC2518128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83-4363-97C1-3BC2518128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Sheet2!$A$48:$A$51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Sheet2!$B$48:$B$51</c:f>
              <c:numCache>
                <c:formatCode>General</c:formatCode>
                <c:ptCount val="3"/>
                <c:pt idx="0">
                  <c:v>155.53783060800001</c:v>
                </c:pt>
                <c:pt idx="1">
                  <c:v>236.89761966100002</c:v>
                </c:pt>
                <c:pt idx="2">
                  <c:v>162.37945693099994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83-4363-97C1-3BC2518128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 Stock Unit By Generated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Sheet2!$B$57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Sheet2!$A$58:$A$68</c:f>
              <c:strCache>
                <c:ptCount val="10"/>
                <c:pt idx="0">
                  <c:v>SKU51</c:v>
                </c:pt>
                <c:pt idx="1">
                  <c:v>SKU38</c:v>
                </c:pt>
                <c:pt idx="2">
                  <c:v>SKU31</c:v>
                </c:pt>
                <c:pt idx="3">
                  <c:v>SKU90</c:v>
                </c:pt>
                <c:pt idx="4">
                  <c:v>SKU2</c:v>
                </c:pt>
                <c:pt idx="5">
                  <c:v>SKU32</c:v>
                </c:pt>
                <c:pt idx="6">
                  <c:v>SKU67</c:v>
                </c:pt>
                <c:pt idx="7">
                  <c:v>SKU88</c:v>
                </c:pt>
                <c:pt idx="8">
                  <c:v>SKU52</c:v>
                </c:pt>
                <c:pt idx="9">
                  <c:v>SKU18</c:v>
                </c:pt>
              </c:strCache>
            </c:strRef>
          </c:cat>
          <c:val>
            <c:numRef>
              <c:f>Sheet2!$B$58:$B$68</c:f>
              <c:numCache>
                <c:formatCode>General</c:formatCode>
                <c:ptCount val="10"/>
                <c:pt idx="0">
                  <c:v>9866.4654580000006</c:v>
                </c:pt>
                <c:pt idx="1">
                  <c:v>9692.3180400000001</c:v>
                </c:pt>
                <c:pt idx="2">
                  <c:v>9655.1351030000005</c:v>
                </c:pt>
                <c:pt idx="3">
                  <c:v>9592.63357</c:v>
                </c:pt>
                <c:pt idx="4">
                  <c:v>9577.7496260000007</c:v>
                </c:pt>
                <c:pt idx="5">
                  <c:v>9571.5504870000004</c:v>
                </c:pt>
                <c:pt idx="6">
                  <c:v>9473.7980329999991</c:v>
                </c:pt>
                <c:pt idx="7">
                  <c:v>9444.7420330000004</c:v>
                </c:pt>
                <c:pt idx="8">
                  <c:v>9435.7626089999994</c:v>
                </c:pt>
                <c:pt idx="9">
                  <c:v>9364.6735050000007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52-428F-9A65-DEE2FA1BF6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3486688"/>
        <c:axId val="1123488352"/>
      </c:lineChart>
      <c:catAx>
        <c:axId val="112348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88352"/>
        <c:crosses val="autoZero"/>
        <c:auto val="1"/>
        <c:lblAlgn val="ctr"/>
        <c:lblOffset val="100"/>
        <c:noMultiLvlLbl val="0"/>
      </c:catAx>
      <c:valAx>
        <c:axId val="11234883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234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Chain.xlsx]Sheet2!PivotTable7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 Stock Keeping Unit By Stock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Sheet2!$B$74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Sheet2!$A$75:$A$86</c:f>
              <c:strCache>
                <c:ptCount val="11"/>
                <c:pt idx="0">
                  <c:v>SKU12</c:v>
                </c:pt>
                <c:pt idx="1">
                  <c:v>SKU45</c:v>
                </c:pt>
                <c:pt idx="2">
                  <c:v>SKU49</c:v>
                </c:pt>
                <c:pt idx="3">
                  <c:v>SKU51</c:v>
                </c:pt>
                <c:pt idx="4">
                  <c:v>SKU53</c:v>
                </c:pt>
                <c:pt idx="5">
                  <c:v>SKU55</c:v>
                </c:pt>
                <c:pt idx="6">
                  <c:v>SKU59</c:v>
                </c:pt>
                <c:pt idx="7">
                  <c:v>SKU69</c:v>
                </c:pt>
                <c:pt idx="8">
                  <c:v>SKU7</c:v>
                </c:pt>
                <c:pt idx="9">
                  <c:v>SKU77</c:v>
                </c:pt>
                <c:pt idx="10">
                  <c:v>SKU91</c:v>
                </c:pt>
              </c:strCache>
            </c:strRef>
          </c:cat>
          <c:val>
            <c:numRef>
              <c:f>Sheet2!$B$75:$B$86</c:f>
              <c:numCache>
                <c:formatCode>General</c:formatCode>
                <c:ptCount val="11"/>
                <c:pt idx="0">
                  <c:v>100</c:v>
                </c:pt>
                <c:pt idx="1">
                  <c:v>93</c:v>
                </c:pt>
                <c:pt idx="2">
                  <c:v>97</c:v>
                </c:pt>
                <c:pt idx="3">
                  <c:v>100</c:v>
                </c:pt>
                <c:pt idx="4">
                  <c:v>96</c:v>
                </c:pt>
                <c:pt idx="5">
                  <c:v>97</c:v>
                </c:pt>
                <c:pt idx="6">
                  <c:v>100</c:v>
                </c:pt>
                <c:pt idx="7">
                  <c:v>95</c:v>
                </c:pt>
                <c:pt idx="8">
                  <c:v>93</c:v>
                </c:pt>
                <c:pt idx="9">
                  <c:v>96</c:v>
                </c:pt>
                <c:pt idx="10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7-49E4-9AAE-58CB91D7E1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34521536"/>
        <c:axId val="1034519872"/>
      </c:lineChart>
      <c:catAx>
        <c:axId val="103452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19872"/>
        <c:crosses val="autoZero"/>
        <c:auto val="1"/>
        <c:lblAlgn val="ctr"/>
        <c:lblOffset val="100"/>
        <c:noMultiLvlLbl val="0"/>
      </c:catAx>
      <c:valAx>
        <c:axId val="10345198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3452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0</xdr:row>
      <xdr:rowOff>127000</xdr:rowOff>
    </xdr:from>
    <xdr:to>
      <xdr:col>9</xdr:col>
      <xdr:colOff>419100</xdr:colOff>
      <xdr:row>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8D630A-40AA-4C2F-B84C-9B5DE2130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196850</xdr:colOff>
      <xdr:row>13</xdr:row>
      <xdr:rowOff>12700</xdr:rowOff>
    </xdr:from>
    <xdr:to>
      <xdr:col>11</xdr:col>
      <xdr:colOff>234950</xdr:colOff>
      <xdr:row>22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4495B2-D185-4B6F-A196-0343B07BD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514350</xdr:colOff>
      <xdr:row>24</xdr:row>
      <xdr:rowOff>76200</xdr:rowOff>
    </xdr:from>
    <xdr:to>
      <xdr:col>7</xdr:col>
      <xdr:colOff>279400</xdr:colOff>
      <xdr:row>32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95A263-8EAA-4EEF-9C09-A96A9A755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666750</xdr:colOff>
      <xdr:row>34</xdr:row>
      <xdr:rowOff>82550</xdr:rowOff>
    </xdr:from>
    <xdr:to>
      <xdr:col>6</xdr:col>
      <xdr:colOff>336550</xdr:colOff>
      <xdr:row>43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DA3248-99E7-4F6E-AF58-D289C59D9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355600</xdr:colOff>
      <xdr:row>44</xdr:row>
      <xdr:rowOff>165100</xdr:rowOff>
    </xdr:from>
    <xdr:to>
      <xdr:col>5</xdr:col>
      <xdr:colOff>292100</xdr:colOff>
      <xdr:row>53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9793E6-A4FF-4018-8945-B8BECD498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317500</xdr:colOff>
      <xdr:row>56</xdr:row>
      <xdr:rowOff>158750</xdr:rowOff>
    </xdr:from>
    <xdr:to>
      <xdr:col>7</xdr:col>
      <xdr:colOff>209550</xdr:colOff>
      <xdr:row>64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944ACD-BE41-428D-B28F-C41E5DE5F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222250</xdr:colOff>
      <xdr:row>73</xdr:row>
      <xdr:rowOff>25400</xdr:rowOff>
    </xdr:from>
    <xdr:to>
      <xdr:col>7</xdr:col>
      <xdr:colOff>311150</xdr:colOff>
      <xdr:row>83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7EB749-9C85-4ED4-BAB2-9E28537B7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39688</xdr:colOff>
      <xdr:row>0</xdr:row>
      <xdr:rowOff>128984</xdr:rowOff>
    </xdr:from>
    <xdr:to>
      <xdr:col>16</xdr:col>
      <xdr:colOff>515938</xdr:colOff>
      <xdr:row>5</xdr:row>
      <xdr:rowOff>9922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8864D9-A8D3-4627-A9BF-1EE9472CFB4A}"/>
            </a:ext>
          </a:extLst>
        </xdr:cNvPr>
        <xdr:cNvSpPr txBox="1"/>
      </xdr:nvSpPr>
      <xdr:spPr>
        <a:xfrm>
          <a:off x="39688" y="128984"/>
          <a:ext cx="10160000" cy="823516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chemeClr val="tx1"/>
              </a:solidFill>
            </a:rPr>
            <a:t>Supply Chain</a:t>
          </a:r>
          <a:r>
            <a:rPr lang="en-US" sz="4000" b="1" baseline="0">
              <a:solidFill>
                <a:schemeClr val="tx1"/>
              </a:solidFill>
            </a:rPr>
            <a:t> Dashboard</a:t>
          </a:r>
          <a:endParaRPr lang="en-US" sz="40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115275</xdr:colOff>
      <xdr:row>5</xdr:row>
      <xdr:rowOff>92542</xdr:rowOff>
    </xdr:from>
    <xdr:to>
      <xdr:col>11</xdr:col>
      <xdr:colOff>276010</xdr:colOff>
      <xdr:row>15</xdr:row>
      <xdr:rowOff>16958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D69C72-DECF-45F8-9433-D2F0A8E7E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50873</xdr:colOff>
      <xdr:row>5</xdr:row>
      <xdr:rowOff>98462</xdr:rowOff>
    </xdr:from>
    <xdr:to>
      <xdr:col>5</xdr:col>
      <xdr:colOff>31029</xdr:colOff>
      <xdr:row>35</xdr:row>
      <xdr:rowOff>110765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9BD870-A524-4B43-AF45-2DB25B47E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409358</xdr:colOff>
      <xdr:row>5</xdr:row>
      <xdr:rowOff>105639</xdr:rowOff>
    </xdr:from>
    <xdr:to>
      <xdr:col>16</xdr:col>
      <xdr:colOff>524055</xdr:colOff>
      <xdr:row>15</xdr:row>
      <xdr:rowOff>33012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5E2B14-D957-43AD-A5F6-32AD020EA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383165</xdr:colOff>
      <xdr:row>15</xdr:row>
      <xdr:rowOff>122311</xdr:rowOff>
    </xdr:from>
    <xdr:to>
      <xdr:col>16</xdr:col>
      <xdr:colOff>543900</xdr:colOff>
      <xdr:row>25</xdr:row>
      <xdr:rowOff>33014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B0DCDF-4713-43D8-BDE6-0EEA8B3C8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385150</xdr:colOff>
      <xdr:row>25</xdr:row>
      <xdr:rowOff>82622</xdr:rowOff>
    </xdr:from>
    <xdr:to>
      <xdr:col>16</xdr:col>
      <xdr:colOff>533978</xdr:colOff>
      <xdr:row>35</xdr:row>
      <xdr:rowOff>112387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D0BE64-CE09-4F96-88BE-B55315C4E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117259</xdr:colOff>
      <xdr:row>15</xdr:row>
      <xdr:rowOff>112388</xdr:rowOff>
    </xdr:from>
    <xdr:to>
      <xdr:col>11</xdr:col>
      <xdr:colOff>276011</xdr:colOff>
      <xdr:row>25</xdr:row>
      <xdr:rowOff>33014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3A3119-2E96-4A11-97D2-3190BE15B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117259</xdr:colOff>
      <xdr:row>25</xdr:row>
      <xdr:rowOff>88971</xdr:rowOff>
    </xdr:from>
    <xdr:to>
      <xdr:col>11</xdr:col>
      <xdr:colOff>270453</xdr:colOff>
      <xdr:row>35</xdr:row>
      <xdr:rowOff>127865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F3F689-08FA-4091-A015-E3E5EA450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USER" refreshedDate="45673.160803587962" createdVersion="7" refreshedVersion="7" minRefreshableVersion="3" recordCount="100" xr:uid="{F988E12D-0FEA-4880-9CFA-5662A312BCBF}">
  <cacheSource type="worksheet">
    <worksheetSource name="Table1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 count="100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</sharedItems>
    </cacheField>
    <cacheField name="Price" numFmtId="0">
      <sharedItems containsSemiMixedTypes="0" containsString="0" containsNumber="1" minValue="1.699976014" maxValue="99.171328639999999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minValue="1061.6185230000001" maxValue="9866.4654580000006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 count="3">
        <s v="Carrier B"/>
        <s v="Carrier A"/>
        <s v="Carrier C"/>
      </sharedItems>
    </cacheField>
    <cacheField name="Shipping costs" numFmtId="0">
      <sharedItems containsSemiMixedTypes="0" containsString="0" containsNumber="1" minValue="1.0134865660000001" maxValue="9.9298162449999996"/>
    </cacheField>
    <cacheField name="Supplier name" numFmtId="0">
      <sharedItems/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8506857" maxValue="99.466108599999998"/>
    </cacheField>
    <cacheField name="Inspection results" numFmtId="0">
      <sharedItems/>
    </cacheField>
    <cacheField name="Defect rates" numFmtId="0">
      <sharedItems containsSemiMixedTypes="0" containsString="0" containsNumber="1" minValue="1.8607568000000001E-2" maxValue="4.9392552890000001"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/>
    </cacheField>
    <cacheField name="Costs" numFmtId="0">
      <sharedItems containsSemiMixedTypes="0" containsString="0" containsNumber="1" minValue="103.916248" maxValue="997.4134500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69.808005539999996"/>
    <n v="55"/>
    <n v="802"/>
    <n v="8661.9967919999999"/>
    <s v="Non-binary"/>
    <n v="58"/>
    <n v="7"/>
    <n v="96"/>
    <n v="4"/>
    <x v="0"/>
    <n v="2.9565721389999999"/>
    <s v="Supplier 3"/>
    <s v="Mumbai"/>
    <n v="29"/>
    <n v="215"/>
    <n v="29"/>
    <n v="46.27987924"/>
    <s v="Pending"/>
    <n v="0.226410361"/>
    <x v="0"/>
    <s v="Route B"/>
    <n v="187.75207549999999"/>
  </r>
  <r>
    <x v="1"/>
    <x v="1"/>
    <n v="14.843523279999999"/>
    <n v="95"/>
    <n v="736"/>
    <n v="7460.9000649999998"/>
    <s v="Female"/>
    <n v="53"/>
    <n v="30"/>
    <n v="37"/>
    <n v="2"/>
    <x v="1"/>
    <n v="9.7165747709999994"/>
    <s v="Supplier 3"/>
    <s v="Mumbai"/>
    <n v="23"/>
    <n v="517"/>
    <n v="30"/>
    <n v="33.616768950000001"/>
    <s v="Pending"/>
    <n v="4.8540680260000002"/>
    <x v="0"/>
    <s v="Route B"/>
    <n v="503.06557909999998"/>
  </r>
  <r>
    <x v="0"/>
    <x v="2"/>
    <n v="11.31968329"/>
    <n v="34"/>
    <n v="8"/>
    <n v="9577.7496260000007"/>
    <s v="Unknown"/>
    <n v="1"/>
    <n v="10"/>
    <n v="88"/>
    <n v="2"/>
    <x v="0"/>
    <n v="8.0544792619999992"/>
    <s v="Supplier 1"/>
    <s v="Mumbai"/>
    <n v="12"/>
    <n v="971"/>
    <n v="27"/>
    <n v="30.688019350000001"/>
    <s v="Pending"/>
    <n v="4.5805926189999999"/>
    <x v="1"/>
    <s v="Route C"/>
    <n v="141.9202818"/>
  </r>
  <r>
    <x v="1"/>
    <x v="3"/>
    <n v="61.163343019999999"/>
    <n v="68"/>
    <n v="83"/>
    <n v="7766.8364259999998"/>
    <s v="Non-binary"/>
    <n v="23"/>
    <n v="13"/>
    <n v="59"/>
    <n v="6"/>
    <x v="2"/>
    <n v="1.729568564"/>
    <s v="Supplier 5"/>
    <s v="Kolkata"/>
    <n v="24"/>
    <n v="937"/>
    <n v="18"/>
    <n v="35.624741399999998"/>
    <s v="Fail"/>
    <n v="4.7466486210000003"/>
    <x v="2"/>
    <s v="Route A"/>
    <n v="254.7761592"/>
  </r>
  <r>
    <x v="1"/>
    <x v="4"/>
    <n v="4.8054960360000001"/>
    <n v="26"/>
    <n v="871"/>
    <n v="2686.5051520000002"/>
    <s v="Non-binary"/>
    <n v="5"/>
    <n v="3"/>
    <n v="56"/>
    <n v="8"/>
    <x v="1"/>
    <n v="3.8905479160000001"/>
    <s v="Supplier 1"/>
    <s v="Delhi"/>
    <n v="5"/>
    <n v="414"/>
    <n v="3"/>
    <n v="92.065160599999999"/>
    <s v="Fail"/>
    <n v="3.1455795229999999"/>
    <x v="1"/>
    <s v="Route A"/>
    <n v="923.44063170000004"/>
  </r>
  <r>
    <x v="0"/>
    <x v="5"/>
    <n v="1.699976014"/>
    <n v="87"/>
    <n v="147"/>
    <n v="2828.3487460000001"/>
    <s v="Non-binary"/>
    <n v="90"/>
    <n v="27"/>
    <n v="66"/>
    <n v="3"/>
    <x v="0"/>
    <n v="4.4440988639999999"/>
    <s v="Supplier 4"/>
    <s v="Bangalore"/>
    <n v="10"/>
    <n v="104"/>
    <n v="17"/>
    <n v="56.766475560000003"/>
    <s v="Fail"/>
    <n v="2.779193512"/>
    <x v="0"/>
    <s v="Route A"/>
    <n v="235.4612367"/>
  </r>
  <r>
    <x v="1"/>
    <x v="6"/>
    <n v="4.078332863"/>
    <n v="48"/>
    <n v="65"/>
    <n v="7823.4765600000001"/>
    <s v="Male"/>
    <n v="11"/>
    <n v="15"/>
    <n v="58"/>
    <n v="8"/>
    <x v="2"/>
    <n v="3.8807633030000002"/>
    <s v="Supplier 3"/>
    <s v="Kolkata"/>
    <n v="14"/>
    <n v="314"/>
    <n v="24"/>
    <n v="1.08506857"/>
    <s v="Pending"/>
    <n v="1.0009106189999999"/>
    <x v="3"/>
    <s v="Route A"/>
    <n v="134.36909689999999"/>
  </r>
  <r>
    <x v="2"/>
    <x v="7"/>
    <n v="42.958384379999998"/>
    <n v="59"/>
    <n v="426"/>
    <n v="8496.1038129999997"/>
    <s v="Female"/>
    <n v="93"/>
    <n v="17"/>
    <n v="11"/>
    <n v="1"/>
    <x v="0"/>
    <n v="2.3483387840000001"/>
    <s v="Supplier 4"/>
    <s v="Bangalore"/>
    <n v="22"/>
    <n v="564"/>
    <n v="1"/>
    <n v="99.466108599999998"/>
    <s v="Fail"/>
    <n v="0.39817718699999999"/>
    <x v="0"/>
    <s v="Route C"/>
    <n v="802.0563118"/>
  </r>
  <r>
    <x v="2"/>
    <x v="8"/>
    <n v="68.717596749999998"/>
    <n v="78"/>
    <n v="150"/>
    <n v="7517.3632109999999"/>
    <s v="Female"/>
    <n v="5"/>
    <n v="10"/>
    <n v="15"/>
    <n v="7"/>
    <x v="2"/>
    <n v="3.4047338570000001"/>
    <s v="Supplier 4"/>
    <s v="Mumbai"/>
    <n v="13"/>
    <n v="769"/>
    <n v="8"/>
    <n v="11.42302714"/>
    <s v="Pending"/>
    <n v="2.7098626910000001"/>
    <x v="3"/>
    <s v="Route B"/>
    <n v="505.55713420000001"/>
  </r>
  <r>
    <x v="1"/>
    <x v="9"/>
    <n v="64.015732940000007"/>
    <n v="35"/>
    <n v="980"/>
    <n v="4971.1459880000002"/>
    <s v="Unknown"/>
    <n v="14"/>
    <n v="27"/>
    <n v="83"/>
    <n v="1"/>
    <x v="1"/>
    <n v="7.166645291"/>
    <s v="Supplier 2"/>
    <s v="Chennai"/>
    <n v="29"/>
    <n v="963"/>
    <n v="23"/>
    <n v="47.957601629999999"/>
    <s v="Pending"/>
    <n v="3.8446144790000001"/>
    <x v="2"/>
    <s v="Route B"/>
    <n v="995.9294615"/>
  </r>
  <r>
    <x v="1"/>
    <x v="10"/>
    <n v="15.70779568"/>
    <n v="11"/>
    <n v="996"/>
    <n v="2330.9658020000002"/>
    <s v="Non-binary"/>
    <n v="51"/>
    <n v="13"/>
    <n v="80"/>
    <n v="2"/>
    <x v="2"/>
    <n v="8.6732112109999999"/>
    <s v="Supplier 5"/>
    <s v="Kolkata"/>
    <n v="18"/>
    <n v="830"/>
    <n v="5"/>
    <n v="96.527352789999995"/>
    <s v="Pass"/>
    <n v="1.7273139280000001"/>
    <x v="0"/>
    <s v="Route B"/>
    <n v="806.10317769999995"/>
  </r>
  <r>
    <x v="1"/>
    <x v="11"/>
    <n v="90.635459979999993"/>
    <n v="95"/>
    <n v="960"/>
    <n v="6099.9441159999997"/>
    <s v="Female"/>
    <n v="46"/>
    <n v="23"/>
    <n v="60"/>
    <n v="1"/>
    <x v="1"/>
    <n v="4.5239431239999996"/>
    <s v="Supplier 2"/>
    <s v="Kolkata"/>
    <n v="28"/>
    <n v="362"/>
    <n v="11"/>
    <n v="27.592363089999999"/>
    <s v="Pending"/>
    <n v="2.1169820999999998E-2"/>
    <x v="1"/>
    <s v="Route A"/>
    <n v="126.72303340000001"/>
  </r>
  <r>
    <x v="0"/>
    <x v="12"/>
    <n v="71.213389079999999"/>
    <n v="41"/>
    <n v="336"/>
    <n v="2873.741446"/>
    <s v="Unknown"/>
    <n v="100"/>
    <n v="30"/>
    <n v="85"/>
    <n v="4"/>
    <x v="1"/>
    <n v="1.32527401"/>
    <s v="Supplier 4"/>
    <s v="Kolkata"/>
    <n v="3"/>
    <n v="563"/>
    <n v="3"/>
    <n v="32.321286209999997"/>
    <s v="Fail"/>
    <n v="2.161253748"/>
    <x v="0"/>
    <s v="Route B"/>
    <n v="402.96878909999998"/>
  </r>
  <r>
    <x v="1"/>
    <x v="13"/>
    <n v="16.160393320000001"/>
    <n v="5"/>
    <n v="249"/>
    <n v="4052.7384160000001"/>
    <s v="Male"/>
    <n v="80"/>
    <n v="8"/>
    <n v="48"/>
    <n v="9"/>
    <x v="1"/>
    <n v="9.5372830610000001"/>
    <s v="Supplier 5"/>
    <s v="Bangalore"/>
    <n v="23"/>
    <n v="173"/>
    <n v="10"/>
    <n v="97.829050109999997"/>
    <s v="Pending"/>
    <n v="1.6310742300000001"/>
    <x v="0"/>
    <s v="Route B"/>
    <n v="547.24100520000002"/>
  </r>
  <r>
    <x v="1"/>
    <x v="14"/>
    <n v="99.171328639999999"/>
    <n v="26"/>
    <n v="562"/>
    <n v="8653.5709260000003"/>
    <s v="Non-binary"/>
    <n v="54"/>
    <n v="29"/>
    <n v="78"/>
    <n v="5"/>
    <x v="0"/>
    <n v="2.039770189"/>
    <s v="Supplier 1"/>
    <s v="Kolkata"/>
    <n v="25"/>
    <n v="558"/>
    <n v="14"/>
    <n v="5.7914366299999998"/>
    <s v="Pending"/>
    <n v="0.100682852"/>
    <x v="1"/>
    <s v="Route B"/>
    <n v="929.23528999999996"/>
  </r>
  <r>
    <x v="1"/>
    <x v="15"/>
    <n v="36.989244929999998"/>
    <n v="94"/>
    <n v="469"/>
    <n v="5442.0867850000004"/>
    <s v="Non-binary"/>
    <n v="9"/>
    <n v="8"/>
    <n v="69"/>
    <n v="7"/>
    <x v="0"/>
    <n v="2.4220397230000001"/>
    <s v="Supplier 1"/>
    <s v="Bangalore"/>
    <n v="14"/>
    <n v="580"/>
    <n v="7"/>
    <n v="97.121281749999994"/>
    <s v="Pass"/>
    <n v="2.2644057609999999"/>
    <x v="3"/>
    <s v="Route B"/>
    <n v="127.8618"/>
  </r>
  <r>
    <x v="1"/>
    <x v="16"/>
    <n v="7.54717211"/>
    <n v="74"/>
    <n v="280"/>
    <n v="6453.7979679999999"/>
    <s v="Female"/>
    <n v="2"/>
    <n v="5"/>
    <n v="78"/>
    <n v="1"/>
    <x v="0"/>
    <n v="4.1913245860000004"/>
    <s v="Supplier 1"/>
    <s v="Bangalore"/>
    <n v="3"/>
    <n v="399"/>
    <n v="21"/>
    <n v="77.106342499999997"/>
    <s v="Pass"/>
    <n v="1.0125630889999999"/>
    <x v="1"/>
    <s v="Route A"/>
    <n v="865.52577980000001"/>
  </r>
  <r>
    <x v="2"/>
    <x v="17"/>
    <n v="81.46253437"/>
    <n v="82"/>
    <n v="126"/>
    <n v="2629.3964350000001"/>
    <s v="Female"/>
    <n v="45"/>
    <n v="17"/>
    <n v="85"/>
    <n v="9"/>
    <x v="2"/>
    <n v="3.585418958"/>
    <s v="Supplier 1"/>
    <s v="Chennai"/>
    <n v="7"/>
    <n v="453"/>
    <n v="16"/>
    <n v="47.67968037"/>
    <s v="Fail"/>
    <n v="0.102020755"/>
    <x v="1"/>
    <s v="Route C"/>
    <n v="670.93439079999996"/>
  </r>
  <r>
    <x v="0"/>
    <x v="18"/>
    <n v="36.443627769999999"/>
    <n v="23"/>
    <n v="620"/>
    <n v="9364.6735050000007"/>
    <s v="Unknown"/>
    <n v="10"/>
    <n v="10"/>
    <n v="46"/>
    <n v="8"/>
    <x v="2"/>
    <n v="4.3392247140000002"/>
    <s v="Supplier 2"/>
    <s v="Kolkata"/>
    <n v="18"/>
    <n v="374"/>
    <n v="17"/>
    <n v="27.107980850000001"/>
    <s v="Pending"/>
    <n v="2.231939111"/>
    <x v="3"/>
    <s v="Route A"/>
    <n v="593.48025870000004"/>
  </r>
  <r>
    <x v="1"/>
    <x v="19"/>
    <n v="51.123870089999997"/>
    <n v="100"/>
    <n v="187"/>
    <n v="2553.4955850000001"/>
    <s v="Unknown"/>
    <n v="48"/>
    <n v="11"/>
    <n v="94"/>
    <n v="3"/>
    <x v="1"/>
    <n v="4.7426358830000002"/>
    <s v="Supplier 4"/>
    <s v="Chennai"/>
    <n v="20"/>
    <n v="694"/>
    <n v="16"/>
    <n v="82.373320590000006"/>
    <s v="Fail"/>
    <n v="3.6464508649999998"/>
    <x v="0"/>
    <s v="Route C"/>
    <n v="477.30763109999998"/>
  </r>
  <r>
    <x v="1"/>
    <x v="20"/>
    <n v="96.341072440000005"/>
    <n v="22"/>
    <n v="320"/>
    <n v="8128.0276970000004"/>
    <s v="Unknown"/>
    <n v="27"/>
    <n v="12"/>
    <n v="68"/>
    <n v="6"/>
    <x v="1"/>
    <n v="8.8783346509999994"/>
    <s v="Supplier 1"/>
    <s v="Chennai"/>
    <n v="29"/>
    <n v="309"/>
    <n v="6"/>
    <n v="65.686259609999993"/>
    <s v="Pass"/>
    <n v="4.2314165739999998"/>
    <x v="1"/>
    <s v="Route B"/>
    <n v="493.87121530000002"/>
  </r>
  <r>
    <x v="2"/>
    <x v="21"/>
    <n v="84.893868979999993"/>
    <n v="60"/>
    <n v="601"/>
    <n v="7087.0526959999997"/>
    <s v="Unknown"/>
    <n v="69"/>
    <n v="25"/>
    <n v="7"/>
    <n v="6"/>
    <x v="0"/>
    <n v="6.0378837689999996"/>
    <s v="Supplier 5"/>
    <s v="Chennai"/>
    <n v="19"/>
    <n v="791"/>
    <n v="4"/>
    <n v="61.735728950000002"/>
    <s v="Pending"/>
    <n v="1.8607568000000001E-2"/>
    <x v="1"/>
    <s v="Route C"/>
    <n v="523.36091469999997"/>
  </r>
  <r>
    <x v="0"/>
    <x v="22"/>
    <n v="27.67978089"/>
    <n v="55"/>
    <n v="884"/>
    <n v="2390.807867"/>
    <s v="Unknown"/>
    <n v="71"/>
    <n v="1"/>
    <n v="63"/>
    <n v="10"/>
    <x v="1"/>
    <n v="9.567648921"/>
    <s v="Supplier 4"/>
    <s v="Kolkata"/>
    <n v="22"/>
    <n v="780"/>
    <n v="28"/>
    <n v="50.120839609999997"/>
    <s v="Fail"/>
    <n v="2.5912754730000001"/>
    <x v="2"/>
    <s v="Route C"/>
    <n v="205.5719958"/>
  </r>
  <r>
    <x v="2"/>
    <x v="23"/>
    <n v="4.3243411859999998"/>
    <n v="30"/>
    <n v="391"/>
    <n v="8858.3675710000007"/>
    <s v="Unknown"/>
    <n v="84"/>
    <n v="5"/>
    <n v="29"/>
    <n v="7"/>
    <x v="1"/>
    <n v="2.9248576009999998"/>
    <s v="Supplier 5"/>
    <s v="Kolkata"/>
    <n v="11"/>
    <n v="568"/>
    <n v="29"/>
    <n v="98.60995724"/>
    <s v="Pending"/>
    <n v="1.3422915630000001"/>
    <x v="2"/>
    <s v="Route A"/>
    <n v="196.32944610000001"/>
  </r>
  <r>
    <x v="0"/>
    <x v="24"/>
    <n v="4.1563083589999996"/>
    <n v="32"/>
    <n v="209"/>
    <n v="9049.0778609999998"/>
    <s v="Male"/>
    <n v="4"/>
    <n v="26"/>
    <n v="2"/>
    <n v="8"/>
    <x v="2"/>
    <n v="9.7412916890000005"/>
    <s v="Supplier 2"/>
    <s v="Bangalore"/>
    <n v="28"/>
    <n v="447"/>
    <n v="3"/>
    <n v="40.382359700000002"/>
    <s v="Pending"/>
    <n v="3.6913102929999999"/>
    <x v="1"/>
    <s v="Route A"/>
    <n v="758.72477260000005"/>
  </r>
  <r>
    <x v="0"/>
    <x v="25"/>
    <n v="39.629343990000002"/>
    <n v="73"/>
    <n v="142"/>
    <n v="2174.7770540000001"/>
    <s v="Male"/>
    <n v="82"/>
    <n v="11"/>
    <n v="52"/>
    <n v="3"/>
    <x v="2"/>
    <n v="2.2310736809999998"/>
    <s v="Supplier 4"/>
    <s v="Kolkata"/>
    <n v="19"/>
    <n v="934"/>
    <n v="23"/>
    <n v="78.280383119999996"/>
    <s v="Pending"/>
    <n v="3.7972312170000002"/>
    <x v="0"/>
    <s v="Route B"/>
    <n v="458.53594570000001"/>
  </r>
  <r>
    <x v="0"/>
    <x v="26"/>
    <n v="97.446946620000006"/>
    <n v="9"/>
    <n v="353"/>
    <n v="3716.4933259999998"/>
    <s v="Male"/>
    <n v="59"/>
    <n v="16"/>
    <n v="48"/>
    <n v="4"/>
    <x v="0"/>
    <n v="6.5075486209999998"/>
    <s v="Supplier 2"/>
    <s v="Bangalore"/>
    <n v="26"/>
    <n v="171"/>
    <n v="4"/>
    <n v="15.972229759999999"/>
    <s v="Pass"/>
    <n v="2.1193197370000001"/>
    <x v="2"/>
    <s v="Route A"/>
    <n v="617.8669165"/>
  </r>
  <r>
    <x v="2"/>
    <x v="27"/>
    <n v="92.557360810000006"/>
    <n v="42"/>
    <n v="352"/>
    <n v="2686.4572240000002"/>
    <s v="Unknown"/>
    <n v="47"/>
    <n v="9"/>
    <n v="62"/>
    <n v="8"/>
    <x v="2"/>
    <n v="7.4067509530000004"/>
    <s v="Supplier 5"/>
    <s v="Mumbai"/>
    <n v="25"/>
    <n v="291"/>
    <n v="4"/>
    <n v="10.528245070000001"/>
    <s v="Fail"/>
    <n v="2.8646678379999999"/>
    <x v="3"/>
    <s v="Route B"/>
    <n v="762.45918219999999"/>
  </r>
  <r>
    <x v="2"/>
    <x v="28"/>
    <n v="2.3972747060000001"/>
    <n v="12"/>
    <n v="394"/>
    <n v="6117.3246150000004"/>
    <s v="Female"/>
    <n v="48"/>
    <n v="15"/>
    <n v="24"/>
    <n v="4"/>
    <x v="0"/>
    <n v="9.8981405079999991"/>
    <s v="Supplier 1"/>
    <s v="Mumbai"/>
    <n v="13"/>
    <n v="171"/>
    <n v="7"/>
    <n v="59.429381810000002"/>
    <s v="Fail"/>
    <n v="0.81575707900000005"/>
    <x v="1"/>
    <s v="Route A"/>
    <n v="123.4370275"/>
  </r>
  <r>
    <x v="2"/>
    <x v="29"/>
    <n v="63.44755919"/>
    <n v="3"/>
    <n v="253"/>
    <n v="8318.9031950000008"/>
    <s v="Female"/>
    <n v="45"/>
    <n v="5"/>
    <n v="67"/>
    <n v="7"/>
    <x v="0"/>
    <n v="8.1009731449999993"/>
    <s v="Supplier 1"/>
    <s v="Kolkata"/>
    <n v="16"/>
    <n v="329"/>
    <n v="7"/>
    <n v="39.292875590000001"/>
    <s v="Pass"/>
    <n v="3.8780989369999999"/>
    <x v="0"/>
    <s v="Route B"/>
    <n v="764.93537590000005"/>
  </r>
  <r>
    <x v="0"/>
    <x v="30"/>
    <n v="8.0228592110000001"/>
    <n v="10"/>
    <n v="327"/>
    <n v="2766.3423670000002"/>
    <s v="Male"/>
    <n v="60"/>
    <n v="26"/>
    <n v="35"/>
    <n v="7"/>
    <x v="0"/>
    <n v="8.9545283149999992"/>
    <s v="Supplier 4"/>
    <s v="Kolkata"/>
    <n v="27"/>
    <n v="806"/>
    <n v="30"/>
    <n v="51.634893400000003"/>
    <s v="Pending"/>
    <n v="0.96539470500000002"/>
    <x v="0"/>
    <s v="Route C"/>
    <n v="880.08098819999998"/>
  </r>
  <r>
    <x v="1"/>
    <x v="31"/>
    <n v="50.847393050000001"/>
    <n v="28"/>
    <n v="168"/>
    <n v="9655.1351030000005"/>
    <s v="Male"/>
    <n v="6"/>
    <n v="17"/>
    <n v="44"/>
    <n v="4"/>
    <x v="0"/>
    <n v="2.6796609650000001"/>
    <s v="Supplier 3"/>
    <s v="Chennai"/>
    <n v="24"/>
    <n v="461"/>
    <n v="8"/>
    <n v="60.251145659999999"/>
    <s v="Pending"/>
    <n v="2.989000007"/>
    <x v="2"/>
    <s v="Route C"/>
    <n v="609.37920659999997"/>
  </r>
  <r>
    <x v="1"/>
    <x v="32"/>
    <n v="79.209936020000001"/>
    <n v="43"/>
    <n v="781"/>
    <n v="9571.5504870000004"/>
    <s v="Unknown"/>
    <n v="89"/>
    <n v="13"/>
    <n v="64"/>
    <n v="4"/>
    <x v="2"/>
    <n v="6.5991049009999996"/>
    <s v="Supplier 3"/>
    <s v="Kolkata"/>
    <n v="30"/>
    <n v="737"/>
    <n v="7"/>
    <n v="29.692467149999999"/>
    <s v="Pass"/>
    <n v="1.946036119"/>
    <x v="0"/>
    <s v="Route A"/>
    <n v="761.17390950000004"/>
  </r>
  <r>
    <x v="2"/>
    <x v="33"/>
    <n v="64.795434999999998"/>
    <n v="63"/>
    <n v="616"/>
    <n v="5149.9983499999998"/>
    <s v="Non-binary"/>
    <n v="4"/>
    <n v="17"/>
    <n v="95"/>
    <n v="9"/>
    <x v="2"/>
    <n v="4.858270503"/>
    <s v="Supplier 5"/>
    <s v="Chennai"/>
    <n v="1"/>
    <n v="251"/>
    <n v="23"/>
    <n v="23.85342751"/>
    <s v="Fail"/>
    <n v="3.5410460119999998"/>
    <x v="3"/>
    <s v="Route A"/>
    <n v="371.25529549999999"/>
  </r>
  <r>
    <x v="1"/>
    <x v="34"/>
    <n v="37.467592330000002"/>
    <n v="96"/>
    <n v="602"/>
    <n v="9061.7108960000005"/>
    <s v="Unknown"/>
    <n v="1"/>
    <n v="26"/>
    <n v="21"/>
    <n v="7"/>
    <x v="1"/>
    <n v="1.019487571"/>
    <s v="Supplier 1"/>
    <s v="Chennai"/>
    <n v="4"/>
    <n v="452"/>
    <n v="10"/>
    <n v="10.754272820000001"/>
    <s v="Pass"/>
    <n v="0.64660455900000002"/>
    <x v="0"/>
    <s v="Route B"/>
    <n v="510.35800039999998"/>
  </r>
  <r>
    <x v="2"/>
    <x v="35"/>
    <n v="84.957786819999995"/>
    <n v="11"/>
    <n v="449"/>
    <n v="6541.3293450000001"/>
    <s v="Female"/>
    <n v="42"/>
    <n v="27"/>
    <n v="85"/>
    <n v="8"/>
    <x v="2"/>
    <n v="5.2881899900000002"/>
    <s v="Supplier 1"/>
    <s v="Delhi"/>
    <n v="3"/>
    <n v="367"/>
    <n v="2"/>
    <n v="58.004787039999997"/>
    <s v="Pass"/>
    <n v="0.54115409800000003"/>
    <x v="3"/>
    <s v="Route C"/>
    <n v="553.42047119999995"/>
  </r>
  <r>
    <x v="1"/>
    <x v="36"/>
    <n v="9.8130025790000008"/>
    <n v="34"/>
    <n v="963"/>
    <n v="7573.4024579999996"/>
    <s v="Female"/>
    <n v="18"/>
    <n v="23"/>
    <n v="28"/>
    <n v="3"/>
    <x v="0"/>
    <n v="2.1079512669999998"/>
    <s v="Supplier 2"/>
    <s v="Delhi"/>
    <n v="26"/>
    <n v="671"/>
    <n v="19"/>
    <n v="45.531364240000002"/>
    <s v="Fail"/>
    <n v="3.8055333789999999"/>
    <x v="1"/>
    <s v="Route C"/>
    <n v="403.80897420000002"/>
  </r>
  <r>
    <x v="1"/>
    <x v="37"/>
    <n v="23.39984475"/>
    <n v="5"/>
    <n v="963"/>
    <n v="2438.3399300000001"/>
    <s v="Female"/>
    <n v="25"/>
    <n v="8"/>
    <n v="21"/>
    <n v="9"/>
    <x v="1"/>
    <n v="1.5326552739999999"/>
    <s v="Supplier 3"/>
    <s v="Kolkata"/>
    <n v="24"/>
    <n v="867"/>
    <n v="15"/>
    <n v="34.343277469999997"/>
    <s v="Pending"/>
    <n v="2.6102880850000001"/>
    <x v="3"/>
    <s v="Route A"/>
    <n v="183.93296799999999"/>
  </r>
  <r>
    <x v="2"/>
    <x v="38"/>
    <n v="52.075930679999999"/>
    <n v="75"/>
    <n v="705"/>
    <n v="9692.3180400000001"/>
    <s v="Non-binary"/>
    <n v="69"/>
    <n v="1"/>
    <n v="88"/>
    <n v="5"/>
    <x v="0"/>
    <n v="9.2359314369999996"/>
    <s v="Supplier 5"/>
    <s v="Mumbai"/>
    <n v="10"/>
    <n v="841"/>
    <n v="12"/>
    <n v="5.9306936459999999"/>
    <s v="Pending"/>
    <n v="0.61332689900000004"/>
    <x v="1"/>
    <s v="Route B"/>
    <n v="339.67286990000002"/>
  </r>
  <r>
    <x v="1"/>
    <x v="39"/>
    <n v="19.12747727"/>
    <n v="26"/>
    <n v="176"/>
    <n v="1912.4656629999999"/>
    <s v="Female"/>
    <n v="78"/>
    <n v="29"/>
    <n v="34"/>
    <n v="3"/>
    <x v="1"/>
    <n v="5.562503779"/>
    <s v="Supplier 2"/>
    <s v="Kolkata"/>
    <n v="30"/>
    <n v="791"/>
    <n v="6"/>
    <n v="9.0058074290000008"/>
    <s v="Fail"/>
    <n v="1.451972204"/>
    <x v="1"/>
    <s v="Route B"/>
    <n v="653.67299460000004"/>
  </r>
  <r>
    <x v="1"/>
    <x v="40"/>
    <n v="80.541424169999999"/>
    <n v="97"/>
    <n v="933"/>
    <n v="5724.9593500000001"/>
    <s v="Female"/>
    <n v="90"/>
    <n v="20"/>
    <n v="39"/>
    <n v="8"/>
    <x v="2"/>
    <n v="7.2295951399999998"/>
    <s v="Supplier 1"/>
    <s v="Kolkata"/>
    <n v="18"/>
    <n v="793"/>
    <n v="1"/>
    <n v="88.179407100000006"/>
    <s v="Pending"/>
    <n v="4.2132694309999996"/>
    <x v="0"/>
    <s v="Route A"/>
    <n v="529.80872399999998"/>
  </r>
  <r>
    <x v="1"/>
    <x v="41"/>
    <n v="99.113291619999998"/>
    <n v="35"/>
    <n v="556"/>
    <n v="5521.2052590000003"/>
    <s v="Female"/>
    <n v="64"/>
    <n v="19"/>
    <n v="38"/>
    <n v="8"/>
    <x v="0"/>
    <n v="5.7732637440000003"/>
    <s v="Supplier 4"/>
    <s v="Chennai"/>
    <n v="18"/>
    <n v="892"/>
    <n v="7"/>
    <n v="95.332064549999998"/>
    <s v="Fail"/>
    <n v="4.5302262000000003E-2"/>
    <x v="3"/>
    <s v="Route A"/>
    <n v="275.5243711"/>
  </r>
  <r>
    <x v="1"/>
    <x v="42"/>
    <n v="46.529167610000002"/>
    <n v="98"/>
    <n v="155"/>
    <n v="1839.609426"/>
    <s v="Female"/>
    <n v="22"/>
    <n v="27"/>
    <n v="57"/>
    <n v="4"/>
    <x v="2"/>
    <n v="7.5262483270000002"/>
    <s v="Supplier 5"/>
    <s v="Bangalore"/>
    <n v="26"/>
    <n v="179"/>
    <n v="7"/>
    <n v="96.422820639999998"/>
    <s v="Fail"/>
    <n v="4.9392552890000001"/>
    <x v="0"/>
    <s v="Route A"/>
    <n v="635.65712050000002"/>
  </r>
  <r>
    <x v="0"/>
    <x v="43"/>
    <n v="11.743271780000001"/>
    <n v="6"/>
    <n v="598"/>
    <n v="5737.4255990000001"/>
    <s v="Unknown"/>
    <n v="36"/>
    <n v="29"/>
    <n v="85"/>
    <n v="9"/>
    <x v="0"/>
    <n v="3.6940212680000002"/>
    <s v="Supplier 5"/>
    <s v="Mumbai"/>
    <n v="1"/>
    <n v="206"/>
    <n v="23"/>
    <n v="26.277365960000001"/>
    <s v="Pending"/>
    <n v="0.37230476800000001"/>
    <x v="1"/>
    <s v="Route A"/>
    <n v="716.04411979999998"/>
  </r>
  <r>
    <x v="2"/>
    <x v="44"/>
    <n v="51.355790910000003"/>
    <n v="34"/>
    <n v="919"/>
    <n v="7152.2860490000003"/>
    <s v="Female"/>
    <n v="13"/>
    <n v="19"/>
    <n v="72"/>
    <n v="6"/>
    <x v="2"/>
    <n v="7.5774496569999998"/>
    <s v="Supplier 2"/>
    <s v="Delhi"/>
    <n v="7"/>
    <n v="834"/>
    <n v="18"/>
    <n v="22.554106619999999"/>
    <s v="Fail"/>
    <n v="2.96262632"/>
    <x v="2"/>
    <s v="Route A"/>
    <n v="610.4532696"/>
  </r>
  <r>
    <x v="0"/>
    <x v="45"/>
    <n v="33.784138030000001"/>
    <n v="1"/>
    <n v="24"/>
    <n v="5267.9568079999999"/>
    <s v="Male"/>
    <n v="93"/>
    <n v="7"/>
    <n v="52"/>
    <n v="6"/>
    <x v="0"/>
    <n v="5.2151550090000001"/>
    <s v="Supplier 2"/>
    <s v="Chennai"/>
    <n v="25"/>
    <n v="794"/>
    <n v="25"/>
    <n v="66.312544439999996"/>
    <s v="Pass"/>
    <n v="3.2196046119999999"/>
    <x v="2"/>
    <s v="Route A"/>
    <n v="495.30569700000001"/>
  </r>
  <r>
    <x v="0"/>
    <x v="46"/>
    <n v="27.082207199999999"/>
    <n v="75"/>
    <n v="859"/>
    <n v="2556.7673610000002"/>
    <s v="Non-binary"/>
    <n v="92"/>
    <n v="29"/>
    <n v="6"/>
    <n v="8"/>
    <x v="0"/>
    <n v="4.0709558369999996"/>
    <s v="Supplier 3"/>
    <s v="Chennai"/>
    <n v="18"/>
    <n v="870"/>
    <n v="23"/>
    <n v="77.322353210000003"/>
    <s v="Pending"/>
    <n v="3.6486105929999999"/>
    <x v="0"/>
    <s v="Route B"/>
    <n v="380.43593709999999"/>
  </r>
  <r>
    <x v="1"/>
    <x v="47"/>
    <n v="95.712135880000005"/>
    <n v="93"/>
    <n v="910"/>
    <n v="7089.4742500000002"/>
    <s v="Male"/>
    <n v="4"/>
    <n v="15"/>
    <n v="51"/>
    <n v="9"/>
    <x v="0"/>
    <n v="8.9787507560000002"/>
    <s v="Supplier 1"/>
    <s v="Kolkata"/>
    <n v="10"/>
    <n v="964"/>
    <n v="20"/>
    <n v="19.712992910000001"/>
    <s v="Pending"/>
    <n v="0.38057358699999999"/>
    <x v="2"/>
    <s v="Route A"/>
    <n v="581.60235509999995"/>
  </r>
  <r>
    <x v="0"/>
    <x v="48"/>
    <n v="76.035544430000002"/>
    <n v="28"/>
    <n v="29"/>
    <n v="7397.0710049999998"/>
    <s v="Non-binary"/>
    <n v="30"/>
    <n v="16"/>
    <n v="9"/>
    <n v="3"/>
    <x v="2"/>
    <n v="7.0958331570000004"/>
    <s v="Supplier 2"/>
    <s v="Mumbai"/>
    <n v="9"/>
    <n v="109"/>
    <n v="18"/>
    <n v="23.12636358"/>
    <s v="Fail"/>
    <n v="1.698112541"/>
    <x v="2"/>
    <s v="Route B"/>
    <n v="768.65191400000003"/>
  </r>
  <r>
    <x v="2"/>
    <x v="49"/>
    <n v="78.897913209999999"/>
    <n v="19"/>
    <n v="99"/>
    <n v="8001.6132070000003"/>
    <s v="Unknown"/>
    <n v="97"/>
    <n v="24"/>
    <n v="9"/>
    <n v="6"/>
    <x v="2"/>
    <n v="2.5056210330000002"/>
    <s v="Supplier 5"/>
    <s v="Delhi"/>
    <n v="28"/>
    <n v="177"/>
    <n v="28"/>
    <n v="14.14781544"/>
    <s v="Pass"/>
    <n v="2.8258139849999999"/>
    <x v="2"/>
    <s v="Route A"/>
    <n v="336.89016850000002"/>
  </r>
  <r>
    <x v="2"/>
    <x v="50"/>
    <n v="14.20348426"/>
    <n v="91"/>
    <n v="633"/>
    <n v="5910.8853900000004"/>
    <s v="Female"/>
    <n v="31"/>
    <n v="23"/>
    <n v="82"/>
    <n v="10"/>
    <x v="1"/>
    <n v="6.2478609150000004"/>
    <s v="Supplier 2"/>
    <s v="Delhi"/>
    <n v="20"/>
    <n v="306"/>
    <n v="21"/>
    <n v="45.178757920000002"/>
    <s v="Fail"/>
    <n v="4.7548008050000004"/>
    <x v="2"/>
    <s v="Route B"/>
    <n v="496.24865030000001"/>
  </r>
  <r>
    <x v="0"/>
    <x v="51"/>
    <n v="26.700760970000001"/>
    <n v="61"/>
    <n v="154"/>
    <n v="9866.4654580000006"/>
    <s v="Male"/>
    <n v="100"/>
    <n v="4"/>
    <n v="52"/>
    <n v="1"/>
    <x v="1"/>
    <n v="4.7830005580000003"/>
    <s v="Supplier 5"/>
    <s v="Bangalore"/>
    <n v="18"/>
    <n v="673"/>
    <n v="28"/>
    <n v="14.190328340000001"/>
    <s v="Pending"/>
    <n v="1.772951172"/>
    <x v="0"/>
    <s v="Route A"/>
    <n v="694.98231759999999"/>
  </r>
  <r>
    <x v="1"/>
    <x v="52"/>
    <n v="98.03182966"/>
    <n v="1"/>
    <n v="820"/>
    <n v="9435.7626089999994"/>
    <s v="Male"/>
    <n v="64"/>
    <n v="11"/>
    <n v="11"/>
    <n v="1"/>
    <x v="0"/>
    <n v="8.6310521799999993"/>
    <s v="Supplier 1"/>
    <s v="Mumbai"/>
    <n v="10"/>
    <n v="727"/>
    <n v="27"/>
    <n v="9.1668491490000008"/>
    <s v="Pending"/>
    <n v="2.1224716190000001"/>
    <x v="1"/>
    <s v="Route C"/>
    <n v="602.89849879999997"/>
  </r>
  <r>
    <x v="1"/>
    <x v="53"/>
    <n v="30.341470709999999"/>
    <n v="93"/>
    <n v="242"/>
    <n v="8232.3348289999994"/>
    <s v="Male"/>
    <n v="96"/>
    <n v="25"/>
    <n v="54"/>
    <n v="3"/>
    <x v="0"/>
    <n v="1.0134865660000001"/>
    <s v="Supplier 1"/>
    <s v="Delhi"/>
    <n v="1"/>
    <n v="631"/>
    <n v="17"/>
    <n v="83.344058989999994"/>
    <s v="Pending"/>
    <n v="1.4103475759999999"/>
    <x v="1"/>
    <s v="Route B"/>
    <n v="750.73784069999999"/>
  </r>
  <r>
    <x v="0"/>
    <x v="54"/>
    <n v="31.146243160000001"/>
    <n v="11"/>
    <n v="622"/>
    <n v="6088.0214800000003"/>
    <s v="Non-binary"/>
    <n v="33"/>
    <n v="22"/>
    <n v="61"/>
    <n v="3"/>
    <x v="0"/>
    <n v="4.3051034709999998"/>
    <s v="Supplier 1"/>
    <s v="Kolkata"/>
    <n v="26"/>
    <n v="497"/>
    <n v="29"/>
    <n v="30.186023380000002"/>
    <s v="Pass"/>
    <n v="2.478771976"/>
    <x v="0"/>
    <s v="Route B"/>
    <n v="814.06999659999997"/>
  </r>
  <r>
    <x v="0"/>
    <x v="55"/>
    <n v="79.855058339999999"/>
    <n v="16"/>
    <n v="701"/>
    <n v="2925.67517"/>
    <s v="Male"/>
    <n v="97"/>
    <n v="11"/>
    <n v="11"/>
    <n v="5"/>
    <x v="1"/>
    <n v="5.0143649549999996"/>
    <s v="Supplier 2"/>
    <s v="Delhi"/>
    <n v="27"/>
    <n v="918"/>
    <n v="5"/>
    <n v="30.32354526"/>
    <s v="Fail"/>
    <n v="4.5489196590000001"/>
    <x v="3"/>
    <s v="Route B"/>
    <n v="323.01292799999999"/>
  </r>
  <r>
    <x v="1"/>
    <x v="56"/>
    <n v="20.986386039999999"/>
    <n v="90"/>
    <n v="93"/>
    <n v="4767.0204839999997"/>
    <s v="Non-binary"/>
    <n v="25"/>
    <n v="23"/>
    <n v="83"/>
    <n v="5"/>
    <x v="2"/>
    <n v="1.774429714"/>
    <s v="Supplier 1"/>
    <s v="Mumbai"/>
    <n v="24"/>
    <n v="826"/>
    <n v="28"/>
    <n v="12.83628457"/>
    <s v="Pass"/>
    <n v="1.173755495"/>
    <x v="1"/>
    <s v="Route B"/>
    <n v="832.21080870000003"/>
  </r>
  <r>
    <x v="0"/>
    <x v="57"/>
    <n v="49.26320535"/>
    <n v="65"/>
    <n v="227"/>
    <n v="1605.8669"/>
    <s v="Unknown"/>
    <n v="5"/>
    <n v="18"/>
    <n v="51"/>
    <n v="1"/>
    <x v="0"/>
    <n v="9.1605585349999998"/>
    <s v="Supplier 2"/>
    <s v="Delhi"/>
    <n v="21"/>
    <n v="588"/>
    <n v="25"/>
    <n v="67.779622989999993"/>
    <s v="Pending"/>
    <n v="2.5111748299999999"/>
    <x v="2"/>
    <s v="Route A"/>
    <n v="482.19123860000002"/>
  </r>
  <r>
    <x v="1"/>
    <x v="58"/>
    <n v="59.841561380000002"/>
    <n v="81"/>
    <n v="896"/>
    <n v="2021.1498099999999"/>
    <s v="Non-binary"/>
    <n v="10"/>
    <n v="5"/>
    <n v="44"/>
    <n v="7"/>
    <x v="1"/>
    <n v="4.9384385650000002"/>
    <s v="Supplier 3"/>
    <s v="Delhi"/>
    <n v="18"/>
    <n v="396"/>
    <n v="7"/>
    <n v="65.047415090000001"/>
    <s v="Fail"/>
    <n v="1.7303747199999999"/>
    <x v="0"/>
    <s v="Route B"/>
    <n v="110.3643352"/>
  </r>
  <r>
    <x v="2"/>
    <x v="59"/>
    <n v="63.828398350000001"/>
    <n v="30"/>
    <n v="484"/>
    <n v="1061.6185230000001"/>
    <s v="Non-binary"/>
    <n v="100"/>
    <n v="16"/>
    <n v="26"/>
    <n v="7"/>
    <x v="0"/>
    <n v="7.2937225970000004"/>
    <s v="Supplier 1"/>
    <s v="Kolkata"/>
    <n v="11"/>
    <n v="176"/>
    <n v="4"/>
    <n v="1.900762244"/>
    <s v="Fail"/>
    <n v="0.447194015"/>
    <x v="1"/>
    <s v="Route A"/>
    <n v="312.57427360000003"/>
  </r>
  <r>
    <x v="1"/>
    <x v="60"/>
    <n v="17.02802792"/>
    <n v="16"/>
    <n v="380"/>
    <n v="8864.0843499999992"/>
    <s v="Female"/>
    <n v="41"/>
    <n v="27"/>
    <n v="72"/>
    <n v="8"/>
    <x v="2"/>
    <n v="4.3813681579999999"/>
    <s v="Supplier 4"/>
    <s v="Mumbai"/>
    <n v="29"/>
    <n v="929"/>
    <n v="24"/>
    <n v="87.213057820000003"/>
    <s v="Fail"/>
    <n v="2.8530906169999999"/>
    <x v="2"/>
    <s v="Route A"/>
    <n v="430.16909700000002"/>
  </r>
  <r>
    <x v="0"/>
    <x v="61"/>
    <n v="52.028749900000001"/>
    <n v="23"/>
    <n v="117"/>
    <n v="6885.5893509999996"/>
    <s v="Unknown"/>
    <n v="32"/>
    <n v="23"/>
    <n v="36"/>
    <n v="7"/>
    <x v="2"/>
    <n v="9.0303404230000002"/>
    <s v="Supplier 4"/>
    <s v="Kolkata"/>
    <n v="14"/>
    <n v="480"/>
    <n v="12"/>
    <n v="78.702393970000003"/>
    <s v="Fail"/>
    <n v="4.3674705380000001"/>
    <x v="1"/>
    <s v="Route A"/>
    <n v="164.3665282"/>
  </r>
  <r>
    <x v="2"/>
    <x v="62"/>
    <n v="72.796353960000005"/>
    <n v="89"/>
    <n v="270"/>
    <n v="3899.746834"/>
    <s v="Unknown"/>
    <n v="86"/>
    <n v="2"/>
    <n v="40"/>
    <n v="7"/>
    <x v="2"/>
    <n v="7.291701389"/>
    <s v="Supplier 2"/>
    <s v="Mumbai"/>
    <n v="13"/>
    <n v="751"/>
    <n v="14"/>
    <n v="21.048642730000001"/>
    <s v="Pass"/>
    <n v="1.8740014039999999"/>
    <x v="3"/>
    <s v="Route C"/>
    <n v="320.84651580000002"/>
  </r>
  <r>
    <x v="1"/>
    <x v="63"/>
    <n v="13.01737679"/>
    <n v="55"/>
    <n v="246"/>
    <n v="4256.9491410000001"/>
    <s v="Non-binary"/>
    <n v="54"/>
    <n v="19"/>
    <n v="10"/>
    <n v="4"/>
    <x v="1"/>
    <n v="2.4579335279999999"/>
    <s v="Supplier 3"/>
    <s v="Bangalore"/>
    <n v="18"/>
    <n v="736"/>
    <n v="10"/>
    <n v="20.075003980000002"/>
    <s v="Pending"/>
    <n v="3.6328432899999998"/>
    <x v="3"/>
    <s v="Route A"/>
    <n v="687.28617789999998"/>
  </r>
  <r>
    <x v="1"/>
    <x v="64"/>
    <n v="89.634095610000003"/>
    <n v="11"/>
    <n v="134"/>
    <n v="8458.7308780000003"/>
    <s v="Female"/>
    <n v="73"/>
    <n v="27"/>
    <n v="75"/>
    <n v="6"/>
    <x v="2"/>
    <n v="4.5853534680000001"/>
    <s v="Supplier 1"/>
    <s v="Delhi"/>
    <n v="17"/>
    <n v="328"/>
    <n v="6"/>
    <n v="8.6930424259999999"/>
    <s v="Fail"/>
    <n v="0.15948631499999999"/>
    <x v="1"/>
    <s v="Route C"/>
    <n v="771.22508470000002"/>
  </r>
  <r>
    <x v="1"/>
    <x v="65"/>
    <n v="33.69771721"/>
    <n v="72"/>
    <n v="457"/>
    <n v="8354.5796859999991"/>
    <s v="Male"/>
    <n v="57"/>
    <n v="24"/>
    <n v="54"/>
    <n v="8"/>
    <x v="2"/>
    <n v="6.5805413479999997"/>
    <s v="Supplier 5"/>
    <s v="Kolkata"/>
    <n v="16"/>
    <n v="358"/>
    <n v="21"/>
    <n v="1.5972227429999999"/>
    <s v="Fail"/>
    <n v="4.9110959550000004"/>
    <x v="2"/>
    <s v="Route C"/>
    <n v="555.85910369999999"/>
  </r>
  <r>
    <x v="1"/>
    <x v="66"/>
    <n v="26.03486977"/>
    <n v="52"/>
    <n v="704"/>
    <n v="8367.7216179999996"/>
    <s v="Female"/>
    <n v="13"/>
    <n v="17"/>
    <n v="19"/>
    <n v="8"/>
    <x v="1"/>
    <n v="2.216142729"/>
    <s v="Supplier 5"/>
    <s v="Kolkata"/>
    <n v="24"/>
    <n v="867"/>
    <n v="28"/>
    <n v="42.084436740000001"/>
    <s v="Fail"/>
    <n v="3.4480632880000002"/>
    <x v="0"/>
    <s v="Route A"/>
    <n v="393.84334860000001"/>
  </r>
  <r>
    <x v="1"/>
    <x v="67"/>
    <n v="87.755432350000007"/>
    <n v="16"/>
    <n v="513"/>
    <n v="9473.7980329999991"/>
    <s v="Unknown"/>
    <n v="12"/>
    <n v="9"/>
    <n v="71"/>
    <n v="9"/>
    <x v="2"/>
    <n v="9.1478115449999997"/>
    <s v="Supplier 1"/>
    <s v="Mumbai"/>
    <n v="10"/>
    <n v="198"/>
    <n v="11"/>
    <n v="7.057876147"/>
    <s v="Pass"/>
    <n v="0.13195544400000001"/>
    <x v="3"/>
    <s v="Route C"/>
    <n v="169.27180139999999"/>
  </r>
  <r>
    <x v="0"/>
    <x v="68"/>
    <n v="37.931812379999997"/>
    <n v="29"/>
    <n v="163"/>
    <n v="3550.218433"/>
    <s v="Non-binary"/>
    <n v="0"/>
    <n v="8"/>
    <n v="58"/>
    <n v="8"/>
    <x v="0"/>
    <n v="1.194251865"/>
    <s v="Supplier 2"/>
    <s v="Bangalore"/>
    <n v="2"/>
    <n v="375"/>
    <n v="18"/>
    <n v="97.11358156"/>
    <s v="Fail"/>
    <n v="1.9834678720000001"/>
    <x v="2"/>
    <s v="Route A"/>
    <n v="299.70630310000001"/>
  </r>
  <r>
    <x v="1"/>
    <x v="69"/>
    <n v="54.865528519999998"/>
    <n v="62"/>
    <n v="511"/>
    <n v="1752.381087"/>
    <s v="Non-binary"/>
    <n v="95"/>
    <n v="1"/>
    <n v="27"/>
    <n v="3"/>
    <x v="0"/>
    <n v="9.7052867900000006"/>
    <s v="Supplier 4"/>
    <s v="Kolkata"/>
    <n v="9"/>
    <n v="862"/>
    <n v="7"/>
    <n v="77.62776581"/>
    <s v="Pending"/>
    <n v="1.3623879889999999"/>
    <x v="1"/>
    <s v="Route A"/>
    <n v="207.66320619999999"/>
  </r>
  <r>
    <x v="0"/>
    <x v="70"/>
    <n v="47.914541819999997"/>
    <n v="90"/>
    <n v="32"/>
    <n v="7014.8879870000001"/>
    <s v="Female"/>
    <n v="10"/>
    <n v="12"/>
    <n v="22"/>
    <n v="4"/>
    <x v="0"/>
    <n v="6.3157177549999997"/>
    <s v="Supplier 1"/>
    <s v="Bangalore"/>
    <n v="22"/>
    <n v="775"/>
    <n v="16"/>
    <n v="11.44078182"/>
    <s v="Pass"/>
    <n v="1.8305755990000001"/>
    <x v="0"/>
    <s v="Route C"/>
    <n v="183.27289870000001"/>
  </r>
  <r>
    <x v="2"/>
    <x v="71"/>
    <n v="6.3815331630000003"/>
    <n v="14"/>
    <n v="637"/>
    <n v="8180.3370850000001"/>
    <s v="Female"/>
    <n v="76"/>
    <n v="2"/>
    <n v="26"/>
    <n v="6"/>
    <x v="1"/>
    <n v="9.2281903169999993"/>
    <s v="Supplier 2"/>
    <s v="Bangalore"/>
    <n v="2"/>
    <n v="258"/>
    <n v="10"/>
    <n v="30.661677480000002"/>
    <s v="Pending"/>
    <n v="2.078750608"/>
    <x v="0"/>
    <s v="Route A"/>
    <n v="405.16706790000001"/>
  </r>
  <r>
    <x v="2"/>
    <x v="72"/>
    <n v="90.204427519999996"/>
    <n v="88"/>
    <n v="478"/>
    <n v="2633.1219809999998"/>
    <s v="Non-binary"/>
    <n v="57"/>
    <n v="29"/>
    <n v="77"/>
    <n v="9"/>
    <x v="1"/>
    <n v="6.5996141599999998"/>
    <s v="Supplier 1"/>
    <s v="Bangalore"/>
    <n v="21"/>
    <n v="152"/>
    <n v="11"/>
    <n v="55.760492900000003"/>
    <s v="Pending"/>
    <n v="3.2133296069999999"/>
    <x v="2"/>
    <s v="Route B"/>
    <n v="677.94456979999995"/>
  </r>
  <r>
    <x v="2"/>
    <x v="73"/>
    <n v="83.851017679999998"/>
    <n v="41"/>
    <n v="375"/>
    <n v="7910.8869160000004"/>
    <s v="Male"/>
    <n v="17"/>
    <n v="25"/>
    <n v="66"/>
    <n v="5"/>
    <x v="0"/>
    <n v="1.512936837"/>
    <s v="Supplier 4"/>
    <s v="Chennai"/>
    <n v="13"/>
    <n v="444"/>
    <n v="4"/>
    <n v="46.870238800000003"/>
    <s v="Fail"/>
    <n v="4.6205460650000001"/>
    <x v="0"/>
    <s v="Route A"/>
    <n v="866.47280009999997"/>
  </r>
  <r>
    <x v="0"/>
    <x v="74"/>
    <n v="3.1700114140000002"/>
    <n v="64"/>
    <n v="904"/>
    <n v="5709.9452959999999"/>
    <s v="Female"/>
    <n v="41"/>
    <n v="6"/>
    <n v="1"/>
    <n v="5"/>
    <x v="1"/>
    <n v="5.2376546499999996"/>
    <s v="Supplier 4"/>
    <s v="Delhi"/>
    <n v="1"/>
    <n v="919"/>
    <n v="9"/>
    <n v="80.580852160000006"/>
    <s v="Fail"/>
    <n v="0.39661272400000003"/>
    <x v="2"/>
    <s v="Route A"/>
    <n v="341.55265680000002"/>
  </r>
  <r>
    <x v="1"/>
    <x v="75"/>
    <n v="92.996884230000006"/>
    <n v="29"/>
    <n v="106"/>
    <n v="1889.07359"/>
    <s v="Non-binary"/>
    <n v="16"/>
    <n v="20"/>
    <n v="56"/>
    <n v="10"/>
    <x v="2"/>
    <n v="2.4738977609999999"/>
    <s v="Supplier 1"/>
    <s v="Chennai"/>
    <n v="25"/>
    <n v="759"/>
    <n v="11"/>
    <n v="48.064782639999997"/>
    <s v="Pass"/>
    <n v="2.0300690889999999"/>
    <x v="1"/>
    <s v="Route C"/>
    <n v="873.12964799999997"/>
  </r>
  <r>
    <x v="0"/>
    <x v="76"/>
    <n v="69.108799550000001"/>
    <n v="23"/>
    <n v="241"/>
    <n v="5328.3759840000002"/>
    <s v="Male"/>
    <n v="38"/>
    <n v="1"/>
    <n v="22"/>
    <n v="10"/>
    <x v="1"/>
    <n v="7.0545383370000003"/>
    <s v="Supplier 2"/>
    <s v="Bangalore"/>
    <n v="25"/>
    <n v="985"/>
    <n v="24"/>
    <n v="64.323597800000002"/>
    <s v="Pending"/>
    <n v="2.1800374520000001"/>
    <x v="2"/>
    <s v="Route A"/>
    <n v="997.41345009999998"/>
  </r>
  <r>
    <x v="0"/>
    <x v="77"/>
    <n v="57.449742960000002"/>
    <n v="14"/>
    <n v="359"/>
    <n v="2483.760178"/>
    <s v="Unknown"/>
    <n v="96"/>
    <n v="28"/>
    <n v="57"/>
    <n v="4"/>
    <x v="0"/>
    <n v="6.7809466260000004"/>
    <s v="Supplier 1"/>
    <s v="Kolkata"/>
    <n v="26"/>
    <n v="334"/>
    <n v="5"/>
    <n v="42.952444749999998"/>
    <s v="Pass"/>
    <n v="3.0551418180000001"/>
    <x v="0"/>
    <s v="Route B"/>
    <n v="852.5680989"/>
  </r>
  <r>
    <x v="0"/>
    <x v="78"/>
    <n v="6.3068831760000004"/>
    <n v="50"/>
    <n v="946"/>
    <n v="1292.4584179999999"/>
    <s v="Unknown"/>
    <n v="5"/>
    <n v="4"/>
    <n v="51"/>
    <n v="5"/>
    <x v="0"/>
    <n v="8.4670497709999992"/>
    <s v="Supplier 5"/>
    <s v="Mumbai"/>
    <n v="25"/>
    <n v="858"/>
    <n v="21"/>
    <n v="71.126514720000003"/>
    <s v="Pending"/>
    <n v="4.0968813319999997"/>
    <x v="3"/>
    <s v="Route C"/>
    <n v="323.59220340000002"/>
  </r>
  <r>
    <x v="0"/>
    <x v="79"/>
    <n v="57.057031219999999"/>
    <n v="56"/>
    <n v="198"/>
    <n v="7888.7232679999997"/>
    <s v="Non-binary"/>
    <n v="31"/>
    <n v="25"/>
    <n v="20"/>
    <n v="1"/>
    <x v="0"/>
    <n v="6.4963253639999996"/>
    <s v="Supplier 3"/>
    <s v="Bangalore"/>
    <n v="5"/>
    <n v="228"/>
    <n v="12"/>
    <n v="57.870902919999999"/>
    <s v="Pending"/>
    <n v="0.16587162699999999"/>
    <x v="1"/>
    <s v="Route C"/>
    <n v="351.50421929999999"/>
  </r>
  <r>
    <x v="1"/>
    <x v="80"/>
    <n v="91.128318350000001"/>
    <n v="75"/>
    <n v="872"/>
    <n v="8651.6726830000007"/>
    <s v="Unknown"/>
    <n v="39"/>
    <n v="14"/>
    <n v="41"/>
    <n v="2"/>
    <x v="2"/>
    <n v="2.8331846789999999"/>
    <s v="Supplier 3"/>
    <s v="Chennai"/>
    <n v="8"/>
    <n v="202"/>
    <n v="5"/>
    <n v="76.961228019999993"/>
    <s v="Fail"/>
    <n v="2.849662199"/>
    <x v="3"/>
    <s v="Route B"/>
    <n v="787.77985049999995"/>
  </r>
  <r>
    <x v="0"/>
    <x v="81"/>
    <n v="72.819206930000007"/>
    <n v="9"/>
    <n v="774"/>
    <n v="4384.4134000000004"/>
    <s v="Unknown"/>
    <n v="48"/>
    <n v="6"/>
    <n v="8"/>
    <n v="5"/>
    <x v="0"/>
    <n v="4.0662775020000002"/>
    <s v="Supplier 3"/>
    <s v="Delhi"/>
    <n v="28"/>
    <n v="698"/>
    <n v="1"/>
    <n v="19.789592939999999"/>
    <s v="Pending"/>
    <n v="2.5475471220000001"/>
    <x v="2"/>
    <s v="Route B"/>
    <n v="276.7783359"/>
  </r>
  <r>
    <x v="1"/>
    <x v="82"/>
    <n v="17.03493074"/>
    <n v="13"/>
    <n v="336"/>
    <n v="2943.3818679999999"/>
    <s v="Unknown"/>
    <n v="42"/>
    <n v="19"/>
    <n v="72"/>
    <n v="1"/>
    <x v="1"/>
    <n v="4.7081818740000001"/>
    <s v="Supplier 2"/>
    <s v="Mumbai"/>
    <n v="6"/>
    <n v="955"/>
    <n v="26"/>
    <n v="4.4652784350000001"/>
    <s v="Pending"/>
    <n v="4.1378770490000001"/>
    <x v="0"/>
    <s v="Route C"/>
    <n v="589.97855560000005"/>
  </r>
  <r>
    <x v="0"/>
    <x v="83"/>
    <n v="68.911246210000002"/>
    <n v="82"/>
    <n v="663"/>
    <n v="2411.7546320000001"/>
    <s v="Unknown"/>
    <n v="65"/>
    <n v="24"/>
    <n v="7"/>
    <n v="8"/>
    <x v="0"/>
    <n v="4.9498395779999997"/>
    <s v="Supplier 1"/>
    <s v="Bangalore"/>
    <n v="20"/>
    <n v="443"/>
    <n v="5"/>
    <n v="97.730593799999994"/>
    <s v="Fail"/>
    <n v="0.77300613399999996"/>
    <x v="0"/>
    <s v="Route A"/>
    <n v="682.9710182"/>
  </r>
  <r>
    <x v="0"/>
    <x v="84"/>
    <n v="89.104367289999999"/>
    <n v="99"/>
    <n v="618"/>
    <n v="2048.2901000000002"/>
    <s v="Unknown"/>
    <n v="73"/>
    <n v="26"/>
    <n v="80"/>
    <n v="10"/>
    <x v="1"/>
    <n v="8.3816156250000002"/>
    <s v="Supplier 5"/>
    <s v="Chennai"/>
    <n v="24"/>
    <n v="589"/>
    <n v="22"/>
    <n v="33.808636509999999"/>
    <s v="Pass"/>
    <n v="4.8434565770000004"/>
    <x v="1"/>
    <s v="Route B"/>
    <n v="465.45700599999998"/>
  </r>
  <r>
    <x v="2"/>
    <x v="85"/>
    <n v="76.962994420000001"/>
    <n v="83"/>
    <n v="25"/>
    <n v="8684.6130589999993"/>
    <s v="Female"/>
    <n v="15"/>
    <n v="18"/>
    <n v="66"/>
    <n v="2"/>
    <x v="2"/>
    <n v="8.2491687050000007"/>
    <s v="Supplier 5"/>
    <s v="Chennai"/>
    <n v="4"/>
    <n v="211"/>
    <n v="2"/>
    <n v="69.929345519999998"/>
    <s v="Fail"/>
    <n v="1.3744289999999999"/>
    <x v="0"/>
    <s v="Route B"/>
    <n v="842.68682999999999"/>
  </r>
  <r>
    <x v="1"/>
    <x v="86"/>
    <n v="19.99817694"/>
    <n v="18"/>
    <n v="223"/>
    <n v="1229.5910289999999"/>
    <s v="Unknown"/>
    <n v="32"/>
    <n v="14"/>
    <n v="22"/>
    <n v="6"/>
    <x v="0"/>
    <n v="1.4543053100000001"/>
    <s v="Supplier 1"/>
    <s v="Mumbai"/>
    <n v="4"/>
    <n v="569"/>
    <n v="18"/>
    <n v="74.608969999999999"/>
    <s v="Pass"/>
    <n v="2.051512931"/>
    <x v="2"/>
    <s v="Route A"/>
    <n v="264.2548898"/>
  </r>
  <r>
    <x v="0"/>
    <x v="87"/>
    <n v="80.41403665"/>
    <n v="24"/>
    <n v="79"/>
    <n v="5133.8467010000004"/>
    <s v="Male"/>
    <n v="5"/>
    <n v="7"/>
    <n v="55"/>
    <n v="10"/>
    <x v="1"/>
    <n v="6.5758037979999999"/>
    <s v="Supplier 3"/>
    <s v="Chennai"/>
    <n v="27"/>
    <n v="523"/>
    <n v="17"/>
    <n v="28.696996819999999"/>
    <s v="Fail"/>
    <n v="3.693737788"/>
    <x v="3"/>
    <s v="Route B"/>
    <n v="879.35921770000004"/>
  </r>
  <r>
    <x v="2"/>
    <x v="88"/>
    <n v="75.270406980000004"/>
    <n v="58"/>
    <n v="737"/>
    <n v="9444.7420330000004"/>
    <s v="Male"/>
    <n v="60"/>
    <n v="18"/>
    <n v="85"/>
    <n v="7"/>
    <x v="1"/>
    <n v="3.8012531329999999"/>
    <s v="Supplier 2"/>
    <s v="Mumbai"/>
    <n v="21"/>
    <n v="953"/>
    <n v="11"/>
    <n v="68.184919059999999"/>
    <s v="Pending"/>
    <n v="0.72220440200000002"/>
    <x v="3"/>
    <s v="Route A"/>
    <n v="103.916248"/>
  </r>
  <r>
    <x v="2"/>
    <x v="89"/>
    <n v="97.760085579999995"/>
    <n v="10"/>
    <n v="134"/>
    <n v="5924.6825669999998"/>
    <s v="Unknown"/>
    <n v="90"/>
    <n v="1"/>
    <n v="27"/>
    <n v="8"/>
    <x v="0"/>
    <n v="9.9298162449999996"/>
    <s v="Supplier 1"/>
    <s v="Kolkata"/>
    <n v="23"/>
    <n v="370"/>
    <n v="11"/>
    <n v="46.603873380000003"/>
    <s v="Pending"/>
    <n v="1.9076657340000001"/>
    <x v="2"/>
    <s v="Route B"/>
    <n v="517.49997389999999"/>
  </r>
  <r>
    <x v="1"/>
    <x v="90"/>
    <n v="13.8819135"/>
    <n v="56"/>
    <n v="320"/>
    <n v="9592.63357"/>
    <s v="Non-binary"/>
    <n v="66"/>
    <n v="18"/>
    <n v="96"/>
    <n v="7"/>
    <x v="0"/>
    <n v="7.674430708"/>
    <s v="Supplier 3"/>
    <s v="Bangalore"/>
    <n v="8"/>
    <n v="585"/>
    <n v="8"/>
    <n v="85.675963339999996"/>
    <s v="Pass"/>
    <n v="1.2193822240000001"/>
    <x v="2"/>
    <s v="Route B"/>
    <n v="990.07847249999998"/>
  </r>
  <r>
    <x v="2"/>
    <x v="91"/>
    <n v="62.11196546"/>
    <n v="90"/>
    <n v="916"/>
    <n v="1935.2067939999999"/>
    <s v="Male"/>
    <n v="98"/>
    <n v="22"/>
    <n v="85"/>
    <n v="7"/>
    <x v="0"/>
    <n v="7.4715140839999998"/>
    <s v="Supplier 4"/>
    <s v="Delhi"/>
    <n v="5"/>
    <n v="207"/>
    <n v="28"/>
    <n v="39.772882500000001"/>
    <s v="Pending"/>
    <n v="0.62600185799999997"/>
    <x v="2"/>
    <s v="Route B"/>
    <n v="996.77831500000002"/>
  </r>
  <r>
    <x v="2"/>
    <x v="92"/>
    <n v="47.71423308"/>
    <n v="44"/>
    <n v="276"/>
    <n v="2100.1297549999999"/>
    <s v="Male"/>
    <n v="90"/>
    <n v="25"/>
    <n v="10"/>
    <n v="8"/>
    <x v="0"/>
    <n v="4.4695000260000004"/>
    <s v="Supplier 2"/>
    <s v="Mumbai"/>
    <n v="4"/>
    <n v="671"/>
    <n v="29"/>
    <n v="62.612690399999998"/>
    <s v="Pass"/>
    <n v="0.33343182500000002"/>
    <x v="2"/>
    <s v="Route B"/>
    <n v="230.0927825"/>
  </r>
  <r>
    <x v="0"/>
    <x v="93"/>
    <n v="69.290830999999997"/>
    <n v="88"/>
    <n v="114"/>
    <n v="4531.4021339999999"/>
    <s v="Unknown"/>
    <n v="63"/>
    <n v="17"/>
    <n v="66"/>
    <n v="1"/>
    <x v="2"/>
    <n v="7.0064320589999998"/>
    <s v="Supplier 4"/>
    <s v="Chennai"/>
    <n v="21"/>
    <n v="824"/>
    <n v="20"/>
    <n v="35.633652339999998"/>
    <s v="Fail"/>
    <n v="4.165781795"/>
    <x v="1"/>
    <s v="Route A"/>
    <n v="823.52384589999997"/>
  </r>
  <r>
    <x v="2"/>
    <x v="94"/>
    <n v="3.0376887250000002"/>
    <n v="97"/>
    <n v="987"/>
    <n v="7888.3565470000003"/>
    <s v="Unknown"/>
    <n v="77"/>
    <n v="26"/>
    <n v="72"/>
    <n v="9"/>
    <x v="0"/>
    <n v="6.9429459419999997"/>
    <s v="Supplier 2"/>
    <s v="Delhi"/>
    <n v="12"/>
    <n v="908"/>
    <n v="14"/>
    <n v="60.387378609999999"/>
    <s v="Pass"/>
    <n v="1.463607498"/>
    <x v="2"/>
    <s v="Route B"/>
    <n v="846.665257"/>
  </r>
  <r>
    <x v="0"/>
    <x v="95"/>
    <n v="77.90392722"/>
    <n v="65"/>
    <n v="672"/>
    <n v="7386.3639439999997"/>
    <s v="Unknown"/>
    <n v="15"/>
    <n v="14"/>
    <n v="26"/>
    <n v="9"/>
    <x v="0"/>
    <n v="8.6303388699999992"/>
    <s v="Supplier 4"/>
    <s v="Mumbai"/>
    <n v="18"/>
    <n v="450"/>
    <n v="26"/>
    <n v="58.890685769999997"/>
    <s v="Pending"/>
    <n v="1.2108821299999999"/>
    <x v="1"/>
    <s v="Route A"/>
    <n v="778.86424139999997"/>
  </r>
  <r>
    <x v="2"/>
    <x v="96"/>
    <n v="24.423131420000001"/>
    <n v="29"/>
    <n v="324"/>
    <n v="7698.4247660000001"/>
    <s v="Non-binary"/>
    <n v="67"/>
    <n v="2"/>
    <n v="32"/>
    <n v="3"/>
    <x v="2"/>
    <n v="5.3528780439999997"/>
    <s v="Supplier 3"/>
    <s v="Mumbai"/>
    <n v="28"/>
    <n v="648"/>
    <n v="28"/>
    <n v="17.803756329999999"/>
    <s v="Pending"/>
    <n v="3.8720476810000002"/>
    <x v="0"/>
    <s v="Route A"/>
    <n v="188.7421411"/>
  </r>
  <r>
    <x v="0"/>
    <x v="97"/>
    <n v="3.5261112589999999"/>
    <n v="56"/>
    <n v="62"/>
    <n v="4370.9165800000001"/>
    <s v="Male"/>
    <n v="46"/>
    <n v="19"/>
    <n v="4"/>
    <n v="9"/>
    <x v="1"/>
    <n v="7.9048456109999998"/>
    <s v="Supplier 4"/>
    <s v="Mumbai"/>
    <n v="10"/>
    <n v="535"/>
    <n v="13"/>
    <n v="65.765155930000006"/>
    <s v="Fail"/>
    <n v="3.376237835"/>
    <x v="0"/>
    <s v="Route A"/>
    <n v="540.13242290000005"/>
  </r>
  <r>
    <x v="1"/>
    <x v="98"/>
    <n v="19.754604870000001"/>
    <n v="43"/>
    <n v="913"/>
    <n v="8525.9525599999997"/>
    <s v="Female"/>
    <n v="53"/>
    <n v="1"/>
    <n v="27"/>
    <n v="7"/>
    <x v="0"/>
    <n v="1.4098010949999999"/>
    <s v="Supplier 5"/>
    <s v="Chennai"/>
    <n v="28"/>
    <n v="581"/>
    <n v="9"/>
    <n v="5.6046908640000002"/>
    <s v="Pending"/>
    <n v="2.9081221689999999"/>
    <x v="2"/>
    <s v="Route A"/>
    <n v="882.19886350000002"/>
  </r>
  <r>
    <x v="0"/>
    <x v="99"/>
    <n v="68.5178327"/>
    <n v="17"/>
    <n v="627"/>
    <n v="9185.185829"/>
    <s v="Unknown"/>
    <n v="55"/>
    <n v="8"/>
    <n v="59"/>
    <n v="6"/>
    <x v="0"/>
    <n v="1.311023756"/>
    <s v="Supplier 2"/>
    <s v="Chennai"/>
    <n v="29"/>
    <n v="921"/>
    <n v="2"/>
    <n v="38.072898520000003"/>
    <s v="Fail"/>
    <n v="0.34602729100000001"/>
    <x v="2"/>
    <s v="Route B"/>
    <n v="210.743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B837F-4B6D-47AC-A947-5B11DADE5F16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1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Costs" fld="2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22ADB-559E-42EE-9741-9D2D09BC02F9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47:B51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hipping costs" fld="12" baseField="0" baseItem="0"/>
  </dataField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4BD31-3E27-41B4-B5FA-E3DE5628FD65}" name="PivotTable6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57:B68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axis="axisRow" showAll="0" measureFilter="1" sortType="descending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"/>
  </rowFields>
  <rowItems count="11">
    <i>
      <x v="47"/>
    </i>
    <i>
      <x v="32"/>
    </i>
    <i>
      <x v="25"/>
    </i>
    <i>
      <x v="90"/>
    </i>
    <i>
      <x v="12"/>
    </i>
    <i>
      <x v="26"/>
    </i>
    <i>
      <x v="64"/>
    </i>
    <i>
      <x v="87"/>
    </i>
    <i>
      <x v="48"/>
    </i>
    <i>
      <x v="10"/>
    </i>
    <i t="grand">
      <x/>
    </i>
  </rowItems>
  <colItems count="1">
    <i/>
  </colItems>
  <dataFields count="1">
    <dataField name="Sum of Revenue generated" fld="5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5EE18-5D80-4778-BA1D-AE06369BC835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7:B41" firstHeaderRow="1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generated" fld="5" baseField="0" baseItem="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9D8A2-2EE4-42BC-B8DF-71A7A4FF4BAB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27:B31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generated" fld="5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340D6-E3C6-4E30-A16C-501E5122CBBB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4:E20" firstHeaderRow="1" firstDataRow="2" firstDataCol="1"/>
  <pivotFields count="24"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Defect rates" fld="20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D5143-1388-43D2-B15A-6CD10A3A3EAE}" name="PivotTable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74:B86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axis="axisRow" showAll="0" measureFilter="1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"/>
  </rowFields>
  <rowItems count="12">
    <i>
      <x v="4"/>
    </i>
    <i>
      <x v="40"/>
    </i>
    <i>
      <x v="44"/>
    </i>
    <i>
      <x v="47"/>
    </i>
    <i>
      <x v="49"/>
    </i>
    <i>
      <x v="51"/>
    </i>
    <i>
      <x v="55"/>
    </i>
    <i>
      <x v="66"/>
    </i>
    <i>
      <x v="67"/>
    </i>
    <i>
      <x v="75"/>
    </i>
    <i>
      <x v="91"/>
    </i>
    <i t="grand">
      <x/>
    </i>
  </rowItems>
  <colItems count="1">
    <i/>
  </colItems>
  <dataFields count="1">
    <dataField name="Sum of Stock levels" fld="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27983-BC8D-46BA-A914-EE1C48BDB334}" name="Table1" displayName="Table1" ref="A1:X101" totalsRowShown="0">
  <autoFilter ref="A1:X101" xr:uid="{7AE27983-BC8D-46BA-A914-EE1C48BDB334}"/>
  <tableColumns count="24">
    <tableColumn id="1" xr3:uid="{22494DE5-ACDF-4C3A-B2D3-7D5A35AB18A4}" name="Product type"/>
    <tableColumn id="2" xr3:uid="{D14C3E4A-AA0E-4799-97D6-26A9152EE3AA}" name="SKU"/>
    <tableColumn id="3" xr3:uid="{EDE98ECF-734D-4C6D-B3D8-F6A3CF4E00A6}" name="Price"/>
    <tableColumn id="4" xr3:uid="{3F1CBE46-9171-40FB-BCB7-75B25C8B936A}" name="Availability"/>
    <tableColumn id="5" xr3:uid="{90BCF30E-7796-4F87-AC8E-E59351BD103D}" name="Number of products sold"/>
    <tableColumn id="6" xr3:uid="{A9BC5FA0-4A2F-40E5-A5D0-51C60D16DF9E}" name="Revenue generated"/>
    <tableColumn id="7" xr3:uid="{D62A4C21-8FD1-4DB1-AF62-A14334967E4E}" name="Customer demographics"/>
    <tableColumn id="8" xr3:uid="{EA88A572-1A6D-4FF1-A59C-5B3D2EF78741}" name="Stock levels"/>
    <tableColumn id="9" xr3:uid="{8171C0D8-C218-4516-8AE9-28D135FAE708}" name="Lead times"/>
    <tableColumn id="10" xr3:uid="{4D7B4864-BB96-4DCE-B23A-0B158AE5943E}" name="Order quantities"/>
    <tableColumn id="11" xr3:uid="{924EAC3A-6013-440C-ADDC-28DD80DAC5DD}" name="Shipping times"/>
    <tableColumn id="12" xr3:uid="{AF5C2807-FD84-4886-AA8A-FF8030DFA966}" name="Shipping carriers"/>
    <tableColumn id="13" xr3:uid="{BA552F1D-D92C-47C4-B058-1A577B7CD55F}" name="Shipping costs"/>
    <tableColumn id="14" xr3:uid="{8BE36EEF-E69A-4E1F-A778-827BE40AF19B}" name="Supplier name"/>
    <tableColumn id="15" xr3:uid="{B428FA4F-5630-4E6C-8F00-E1BE6F450BF9}" name="Location"/>
    <tableColumn id="16" xr3:uid="{1549015E-83AE-48A8-A389-006F50C5022D}" name="Lead time"/>
    <tableColumn id="17" xr3:uid="{CBDB8AAA-E630-4696-8854-0C7B29F394B4}" name="Production volumes"/>
    <tableColumn id="18" xr3:uid="{75D5A589-32D1-4734-825C-5D5FA883A546}" name="Manufacturing lead time"/>
    <tableColumn id="19" xr3:uid="{0BA8A634-9FEE-4A2E-9FF3-40F58C04EB48}" name="Manufacturing costs"/>
    <tableColumn id="20" xr3:uid="{8CFAC6C6-9849-4B23-8F8D-96DD42D4813A}" name="Inspection results"/>
    <tableColumn id="21" xr3:uid="{ED5D593C-F715-4666-9E5D-53AD53359220}" name="Defect rates"/>
    <tableColumn id="22" xr3:uid="{52E385F1-A0E5-4C70-A111-17A610E085CC}" name="Transportation modes"/>
    <tableColumn id="23" xr3:uid="{E4B5F002-F532-4097-B4FB-FAC9E6811090}" name="Routes"/>
    <tableColumn id="24" xr3:uid="{C91D397D-584A-4631-8CFD-5299D3E052D5}" name="Co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23BC-5D88-4949-B504-781BBC911471}">
  <dimension ref="A3:E86"/>
  <sheetViews>
    <sheetView topLeftCell="A12" workbookViewId="0">
      <selection activeCell="H77" sqref="H77"/>
    </sheetView>
  </sheetViews>
  <sheetFormatPr defaultRowHeight="15" x14ac:dyDescent="0.25"/>
  <cols>
    <col min="1" max="1" width="12.42578125" bestFit="1" customWidth="1"/>
    <col min="2" max="5" width="11.85546875" bestFit="1" customWidth="1"/>
  </cols>
  <sheetData>
    <row r="3" spans="1:5" x14ac:dyDescent="0.25">
      <c r="A3" s="1" t="s">
        <v>154</v>
      </c>
      <c r="B3" t="s">
        <v>156</v>
      </c>
    </row>
    <row r="4" spans="1:5" x14ac:dyDescent="0.25">
      <c r="A4" s="2" t="s">
        <v>31</v>
      </c>
      <c r="B4">
        <v>16048.193638899997</v>
      </c>
    </row>
    <row r="5" spans="1:5" x14ac:dyDescent="0.25">
      <c r="A5" s="2" t="s">
        <v>47</v>
      </c>
      <c r="B5">
        <v>15168.931558400001</v>
      </c>
    </row>
    <row r="6" spans="1:5" x14ac:dyDescent="0.25">
      <c r="A6" s="2" t="s">
        <v>40</v>
      </c>
      <c r="B6">
        <v>14604.5274976</v>
      </c>
    </row>
    <row r="7" spans="1:5" x14ac:dyDescent="0.25">
      <c r="A7" s="2" t="s">
        <v>56</v>
      </c>
      <c r="B7">
        <v>7102.925520499999</v>
      </c>
    </row>
    <row r="8" spans="1:5" x14ac:dyDescent="0.25">
      <c r="A8" s="2" t="s">
        <v>155</v>
      </c>
      <c r="B8">
        <v>52924.578215399997</v>
      </c>
    </row>
    <row r="14" spans="1:5" x14ac:dyDescent="0.25">
      <c r="A14" s="1" t="s">
        <v>157</v>
      </c>
      <c r="B14" s="1" t="s">
        <v>158</v>
      </c>
    </row>
    <row r="15" spans="1:5" x14ac:dyDescent="0.25">
      <c r="A15" s="1" t="s">
        <v>154</v>
      </c>
      <c r="B15" t="s">
        <v>57</v>
      </c>
      <c r="C15" t="s">
        <v>24</v>
      </c>
      <c r="D15" t="s">
        <v>33</v>
      </c>
      <c r="E15" t="s">
        <v>155</v>
      </c>
    </row>
    <row r="16" spans="1:5" x14ac:dyDescent="0.25">
      <c r="A16" s="2" t="s">
        <v>40</v>
      </c>
      <c r="B16">
        <v>1.996906316</v>
      </c>
      <c r="C16">
        <v>23.397670347000002</v>
      </c>
      <c r="D16">
        <v>22.027435524999998</v>
      </c>
      <c r="E16">
        <v>47.422012187999997</v>
      </c>
    </row>
    <row r="17" spans="1:5" x14ac:dyDescent="0.25">
      <c r="A17" s="2" t="s">
        <v>47</v>
      </c>
      <c r="B17">
        <v>19.429569194999999</v>
      </c>
      <c r="C17">
        <v>19.593179654</v>
      </c>
      <c r="D17">
        <v>25.904040590000001</v>
      </c>
      <c r="E17">
        <v>64.926789439000004</v>
      </c>
    </row>
    <row r="18" spans="1:5" x14ac:dyDescent="0.25">
      <c r="A18" s="2" t="s">
        <v>31</v>
      </c>
      <c r="B18">
        <v>16.222049477999999</v>
      </c>
      <c r="C18">
        <v>26.86477867</v>
      </c>
      <c r="D18">
        <v>32.920387504000004</v>
      </c>
      <c r="E18">
        <v>76.007215651999999</v>
      </c>
    </row>
    <row r="19" spans="1:5" x14ac:dyDescent="0.25">
      <c r="A19" s="2" t="s">
        <v>56</v>
      </c>
      <c r="B19">
        <v>12.252936445</v>
      </c>
      <c r="C19">
        <v>14.571477890000001</v>
      </c>
      <c r="D19">
        <v>12.535367660000002</v>
      </c>
      <c r="E19">
        <v>39.359781995000006</v>
      </c>
    </row>
    <row r="20" spans="1:5" x14ac:dyDescent="0.25">
      <c r="A20" s="2" t="s">
        <v>155</v>
      </c>
      <c r="B20">
        <v>49.901461433999998</v>
      </c>
      <c r="C20">
        <v>84.427106561000002</v>
      </c>
      <c r="D20">
        <v>93.387231279000005</v>
      </c>
      <c r="E20">
        <v>227.71579927400001</v>
      </c>
    </row>
    <row r="27" spans="1:5" x14ac:dyDescent="0.25">
      <c r="A27" s="1" t="s">
        <v>154</v>
      </c>
      <c r="B27" t="s">
        <v>159</v>
      </c>
    </row>
    <row r="28" spans="1:5" x14ac:dyDescent="0.25">
      <c r="A28" s="2" t="s">
        <v>36</v>
      </c>
      <c r="B28">
        <v>142629.99460700003</v>
      </c>
    </row>
    <row r="29" spans="1:5" x14ac:dyDescent="0.25">
      <c r="A29" s="2" t="s">
        <v>27</v>
      </c>
      <c r="B29">
        <v>250094.64698799999</v>
      </c>
    </row>
    <row r="30" spans="1:5" x14ac:dyDescent="0.25">
      <c r="A30" s="2" t="s">
        <v>43</v>
      </c>
      <c r="B30">
        <v>184880.17714500002</v>
      </c>
    </row>
    <row r="31" spans="1:5" x14ac:dyDescent="0.25">
      <c r="A31" s="2" t="s">
        <v>155</v>
      </c>
      <c r="B31">
        <v>577604.81874000002</v>
      </c>
    </row>
    <row r="37" spans="1:2" x14ac:dyDescent="0.25">
      <c r="A37" s="1" t="s">
        <v>154</v>
      </c>
      <c r="B37" t="s">
        <v>159</v>
      </c>
    </row>
    <row r="38" spans="1:2" x14ac:dyDescent="0.25">
      <c r="A38" s="2" t="s">
        <v>57</v>
      </c>
      <c r="B38">
        <v>161521.26600100004</v>
      </c>
    </row>
    <row r="39" spans="1:2" x14ac:dyDescent="0.25">
      <c r="A39" s="2" t="s">
        <v>24</v>
      </c>
      <c r="B39">
        <v>174455.390606</v>
      </c>
    </row>
    <row r="40" spans="1:2" x14ac:dyDescent="0.25">
      <c r="A40" s="2" t="s">
        <v>33</v>
      </c>
      <c r="B40">
        <v>241628.16213300003</v>
      </c>
    </row>
    <row r="41" spans="1:2" x14ac:dyDescent="0.25">
      <c r="A41" s="2" t="s">
        <v>155</v>
      </c>
      <c r="B41">
        <v>577604.81874000002</v>
      </c>
    </row>
    <row r="47" spans="1:2" x14ac:dyDescent="0.25">
      <c r="A47" s="1" t="s">
        <v>154</v>
      </c>
      <c r="B47" t="s">
        <v>160</v>
      </c>
    </row>
    <row r="48" spans="1:2" x14ac:dyDescent="0.25">
      <c r="A48" s="2" t="s">
        <v>36</v>
      </c>
      <c r="B48">
        <v>155.53783060800001</v>
      </c>
    </row>
    <row r="49" spans="1:2" x14ac:dyDescent="0.25">
      <c r="A49" s="2" t="s">
        <v>27</v>
      </c>
      <c r="B49">
        <v>236.89761966100002</v>
      </c>
    </row>
    <row r="50" spans="1:2" x14ac:dyDescent="0.25">
      <c r="A50" s="2" t="s">
        <v>43</v>
      </c>
      <c r="B50">
        <v>162.37945693099994</v>
      </c>
    </row>
    <row r="51" spans="1:2" x14ac:dyDescent="0.25">
      <c r="A51" s="2" t="s">
        <v>155</v>
      </c>
      <c r="B51">
        <v>554.81490719999999</v>
      </c>
    </row>
    <row r="57" spans="1:2" x14ac:dyDescent="0.25">
      <c r="A57" s="1" t="s">
        <v>154</v>
      </c>
      <c r="B57" t="s">
        <v>159</v>
      </c>
    </row>
    <row r="58" spans="1:2" x14ac:dyDescent="0.25">
      <c r="A58" s="2" t="s">
        <v>105</v>
      </c>
      <c r="B58">
        <v>9866.4654580000006</v>
      </c>
    </row>
    <row r="59" spans="1:2" x14ac:dyDescent="0.25">
      <c r="A59" s="2" t="s">
        <v>92</v>
      </c>
      <c r="B59">
        <v>9692.3180400000001</v>
      </c>
    </row>
    <row r="60" spans="1:2" x14ac:dyDescent="0.25">
      <c r="A60" s="2" t="s">
        <v>85</v>
      </c>
      <c r="B60">
        <v>9655.1351030000005</v>
      </c>
    </row>
    <row r="61" spans="1:2" x14ac:dyDescent="0.25">
      <c r="A61" s="2" t="s">
        <v>144</v>
      </c>
      <c r="B61">
        <v>9592.63357</v>
      </c>
    </row>
    <row r="62" spans="1:2" x14ac:dyDescent="0.25">
      <c r="A62" s="2" t="s">
        <v>37</v>
      </c>
      <c r="B62">
        <v>9577.7496260000007</v>
      </c>
    </row>
    <row r="63" spans="1:2" x14ac:dyDescent="0.25">
      <c r="A63" s="2" t="s">
        <v>86</v>
      </c>
      <c r="B63">
        <v>9571.5504870000004</v>
      </c>
    </row>
    <row r="64" spans="1:2" x14ac:dyDescent="0.25">
      <c r="A64" s="2" t="s">
        <v>121</v>
      </c>
      <c r="B64">
        <v>9473.7980329999991</v>
      </c>
    </row>
    <row r="65" spans="1:2" x14ac:dyDescent="0.25">
      <c r="A65" s="2" t="s">
        <v>142</v>
      </c>
      <c r="B65">
        <v>9444.7420330000004</v>
      </c>
    </row>
    <row r="66" spans="1:2" x14ac:dyDescent="0.25">
      <c r="A66" s="2" t="s">
        <v>106</v>
      </c>
      <c r="B66">
        <v>9435.7626089999994</v>
      </c>
    </row>
    <row r="67" spans="1:2" x14ac:dyDescent="0.25">
      <c r="A67" s="2" t="s">
        <v>72</v>
      </c>
      <c r="B67">
        <v>9364.6735050000007</v>
      </c>
    </row>
    <row r="68" spans="1:2" x14ac:dyDescent="0.25">
      <c r="A68" s="2" t="s">
        <v>155</v>
      </c>
      <c r="B68">
        <v>95674.828464000006</v>
      </c>
    </row>
    <row r="74" spans="1:2" x14ac:dyDescent="0.25">
      <c r="A74" s="1" t="s">
        <v>154</v>
      </c>
      <c r="B74" t="s">
        <v>161</v>
      </c>
    </row>
    <row r="75" spans="1:2" x14ac:dyDescent="0.25">
      <c r="A75" s="2" t="s">
        <v>66</v>
      </c>
      <c r="B75">
        <v>100</v>
      </c>
    </row>
    <row r="76" spans="1:2" x14ac:dyDescent="0.25">
      <c r="A76" s="2" t="s">
        <v>99</v>
      </c>
      <c r="B76">
        <v>93</v>
      </c>
    </row>
    <row r="77" spans="1:2" x14ac:dyDescent="0.25">
      <c r="A77" s="2" t="s">
        <v>103</v>
      </c>
      <c r="B77">
        <v>97</v>
      </c>
    </row>
    <row r="78" spans="1:2" x14ac:dyDescent="0.25">
      <c r="A78" s="2" t="s">
        <v>105</v>
      </c>
      <c r="B78">
        <v>100</v>
      </c>
    </row>
    <row r="79" spans="1:2" x14ac:dyDescent="0.25">
      <c r="A79" s="2" t="s">
        <v>107</v>
      </c>
      <c r="B79">
        <v>96</v>
      </c>
    </row>
    <row r="80" spans="1:2" x14ac:dyDescent="0.25">
      <c r="A80" s="2" t="s">
        <v>109</v>
      </c>
      <c r="B80">
        <v>97</v>
      </c>
    </row>
    <row r="81" spans="1:2" x14ac:dyDescent="0.25">
      <c r="A81" s="2" t="s">
        <v>113</v>
      </c>
      <c r="B81">
        <v>100</v>
      </c>
    </row>
    <row r="82" spans="1:2" x14ac:dyDescent="0.25">
      <c r="A82" s="2" t="s">
        <v>123</v>
      </c>
      <c r="B82">
        <v>95</v>
      </c>
    </row>
    <row r="83" spans="1:2" x14ac:dyDescent="0.25">
      <c r="A83" s="2" t="s">
        <v>58</v>
      </c>
      <c r="B83">
        <v>93</v>
      </c>
    </row>
    <row r="84" spans="1:2" x14ac:dyDescent="0.25">
      <c r="A84" s="2" t="s">
        <v>131</v>
      </c>
      <c r="B84">
        <v>96</v>
      </c>
    </row>
    <row r="85" spans="1:2" x14ac:dyDescent="0.25">
      <c r="A85" s="2" t="s">
        <v>145</v>
      </c>
      <c r="B85">
        <v>98</v>
      </c>
    </row>
    <row r="86" spans="1:2" x14ac:dyDescent="0.25">
      <c r="A86" s="2" t="s">
        <v>155</v>
      </c>
      <c r="B86">
        <v>1065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BF47-91A6-4264-A48B-1F6242973942}">
  <dimension ref="A1:Q36"/>
  <sheetViews>
    <sheetView showGridLines="0" tabSelected="1" zoomScale="89" zoomScaleNormal="89" workbookViewId="0">
      <selection activeCell="R1" sqref="R1"/>
    </sheetView>
  </sheetViews>
  <sheetFormatPr defaultRowHeight="15" x14ac:dyDescent="0.25"/>
  <sheetData>
    <row r="1" spans="1:17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9DF1-F90D-4EBB-9436-ED6C2AE0DF7D}">
  <dimension ref="A1:X101"/>
  <sheetViews>
    <sheetView topLeftCell="A2" workbookViewId="0">
      <selection activeCell="D9" sqref="D9"/>
    </sheetView>
  </sheetViews>
  <sheetFormatPr defaultRowHeight="15" x14ac:dyDescent="0.25"/>
  <cols>
    <col min="1" max="1" width="13.5703125" customWidth="1"/>
    <col min="4" max="4" width="11.85546875" customWidth="1"/>
    <col min="5" max="5" width="23.5703125" customWidth="1"/>
    <col min="6" max="6" width="19" customWidth="1"/>
    <col min="7" max="7" width="23.140625" customWidth="1"/>
    <col min="8" max="8" width="12.42578125" customWidth="1"/>
    <col min="9" max="9" width="11.85546875" customWidth="1"/>
    <col min="10" max="10" width="16.5703125" customWidth="1"/>
    <col min="11" max="11" width="15" customWidth="1"/>
    <col min="12" max="12" width="16.5703125" customWidth="1"/>
    <col min="13" max="13" width="14.5703125" customWidth="1"/>
    <col min="14" max="14" width="14.85546875" customWidth="1"/>
    <col min="15" max="15" width="9.85546875" customWidth="1"/>
    <col min="16" max="16" width="11" customWidth="1"/>
    <col min="17" max="17" width="19.5703125" customWidth="1"/>
    <col min="18" max="18" width="23.42578125" customWidth="1"/>
    <col min="19" max="19" width="19.85546875" customWidth="1"/>
    <col min="20" max="20" width="17.5703125" customWidth="1"/>
    <col min="21" max="21" width="13" customWidth="1"/>
    <col min="22" max="22" width="21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>
        <v>69.808005539999996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2.9565721389999999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</v>
      </c>
      <c r="T2" t="s">
        <v>30</v>
      </c>
      <c r="U2">
        <v>0.226410361</v>
      </c>
      <c r="V2" t="s">
        <v>31</v>
      </c>
      <c r="W2" t="s">
        <v>32</v>
      </c>
      <c r="X2">
        <v>187.75207549999999</v>
      </c>
    </row>
    <row r="3" spans="1:24" x14ac:dyDescent="0.25">
      <c r="A3" t="s">
        <v>33</v>
      </c>
      <c r="B3" t="s">
        <v>34</v>
      </c>
      <c r="C3">
        <v>14.843523279999999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9.7165747709999994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33.616768950000001</v>
      </c>
      <c r="T3" t="s">
        <v>30</v>
      </c>
      <c r="U3">
        <v>4.8540680260000002</v>
      </c>
      <c r="V3" t="s">
        <v>31</v>
      </c>
      <c r="W3" t="s">
        <v>32</v>
      </c>
      <c r="X3">
        <v>503.06557909999998</v>
      </c>
    </row>
    <row r="4" spans="1:24" x14ac:dyDescent="0.25">
      <c r="A4" t="s">
        <v>24</v>
      </c>
      <c r="B4" t="s">
        <v>37</v>
      </c>
      <c r="C4">
        <v>11.31968329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8.0544792619999992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30.688019350000001</v>
      </c>
      <c r="T4" t="s">
        <v>30</v>
      </c>
      <c r="U4">
        <v>4.5805926189999999</v>
      </c>
      <c r="V4" t="s">
        <v>40</v>
      </c>
      <c r="W4" t="s">
        <v>41</v>
      </c>
      <c r="X4">
        <v>141.9202818</v>
      </c>
    </row>
    <row r="5" spans="1:24" x14ac:dyDescent="0.25">
      <c r="A5" t="s">
        <v>33</v>
      </c>
      <c r="B5" t="s">
        <v>42</v>
      </c>
      <c r="C5">
        <v>61.163343019999999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35.624741399999998</v>
      </c>
      <c r="T5" t="s">
        <v>46</v>
      </c>
      <c r="U5">
        <v>4.7466486210000003</v>
      </c>
      <c r="V5" t="s">
        <v>47</v>
      </c>
      <c r="W5" t="s">
        <v>48</v>
      </c>
      <c r="X5">
        <v>254.7761592</v>
      </c>
    </row>
    <row r="6" spans="1:24" x14ac:dyDescent="0.25">
      <c r="A6" t="s">
        <v>33</v>
      </c>
      <c r="B6" t="s">
        <v>49</v>
      </c>
      <c r="C6">
        <v>4.8054960360000001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3.8905479160000001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92.065160599999999</v>
      </c>
      <c r="T6" t="s">
        <v>46</v>
      </c>
      <c r="U6">
        <v>3.1455795229999999</v>
      </c>
      <c r="V6" t="s">
        <v>40</v>
      </c>
      <c r="W6" t="s">
        <v>48</v>
      </c>
      <c r="X6">
        <v>923.44063170000004</v>
      </c>
    </row>
    <row r="7" spans="1:24" x14ac:dyDescent="0.25">
      <c r="A7" t="s">
        <v>24</v>
      </c>
      <c r="B7" t="s">
        <v>51</v>
      </c>
      <c r="C7">
        <v>1.699976014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4.4440988639999999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56.766475560000003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</row>
    <row r="8" spans="1:24" x14ac:dyDescent="0.25">
      <c r="A8" t="s">
        <v>33</v>
      </c>
      <c r="B8" t="s">
        <v>54</v>
      </c>
      <c r="C8">
        <v>4.078332863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3.8807633030000002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1.0009106189999999</v>
      </c>
      <c r="V8" t="s">
        <v>56</v>
      </c>
      <c r="W8" t="s">
        <v>48</v>
      </c>
      <c r="X8">
        <v>134.36909689999999</v>
      </c>
    </row>
    <row r="9" spans="1:24" x14ac:dyDescent="0.25">
      <c r="A9" t="s">
        <v>57</v>
      </c>
      <c r="B9" t="s">
        <v>58</v>
      </c>
      <c r="C9">
        <v>42.958384379999998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2.3483387840000001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99.466108599999998</v>
      </c>
      <c r="T9" t="s">
        <v>46</v>
      </c>
      <c r="U9">
        <v>0.39817718699999999</v>
      </c>
      <c r="V9" t="s">
        <v>31</v>
      </c>
      <c r="W9" t="s">
        <v>41</v>
      </c>
      <c r="X9">
        <v>802.0563118</v>
      </c>
    </row>
    <row r="10" spans="1:24" x14ac:dyDescent="0.25">
      <c r="A10" t="s">
        <v>57</v>
      </c>
      <c r="B10" t="s">
        <v>59</v>
      </c>
      <c r="C10">
        <v>68.717596749999998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3.4047338570000001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2.7098626910000001</v>
      </c>
      <c r="V10" t="s">
        <v>56</v>
      </c>
      <c r="W10" t="s">
        <v>32</v>
      </c>
      <c r="X10">
        <v>505.55713420000001</v>
      </c>
    </row>
    <row r="11" spans="1:24" x14ac:dyDescent="0.25">
      <c r="A11" t="s">
        <v>33</v>
      </c>
      <c r="B11" t="s">
        <v>60</v>
      </c>
      <c r="C11">
        <v>64.015732940000007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47.957601629999999</v>
      </c>
      <c r="T11" t="s">
        <v>30</v>
      </c>
      <c r="U11">
        <v>3.8446144790000001</v>
      </c>
      <c r="V11" t="s">
        <v>47</v>
      </c>
      <c r="W11" t="s">
        <v>32</v>
      </c>
      <c r="X11">
        <v>995.9294615</v>
      </c>
    </row>
    <row r="12" spans="1:24" x14ac:dyDescent="0.25">
      <c r="A12" t="s">
        <v>33</v>
      </c>
      <c r="B12" t="s">
        <v>63</v>
      </c>
      <c r="C12">
        <v>15.70779568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8.6732112109999999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96.527352789999995</v>
      </c>
      <c r="T12" t="s">
        <v>64</v>
      </c>
      <c r="U12">
        <v>1.7273139280000001</v>
      </c>
      <c r="V12" t="s">
        <v>31</v>
      </c>
      <c r="W12" t="s">
        <v>32</v>
      </c>
      <c r="X12">
        <v>806.10317769999995</v>
      </c>
    </row>
    <row r="13" spans="1:24" x14ac:dyDescent="0.25">
      <c r="A13" t="s">
        <v>33</v>
      </c>
      <c r="B13" t="s">
        <v>65</v>
      </c>
      <c r="C13">
        <v>90.635459979999993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4.5239431239999996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27.592363089999999</v>
      </c>
      <c r="T13" t="s">
        <v>30</v>
      </c>
      <c r="U13">
        <v>2.1169820999999998E-2</v>
      </c>
      <c r="V13" t="s">
        <v>40</v>
      </c>
      <c r="W13" t="s">
        <v>48</v>
      </c>
      <c r="X13">
        <v>126.72303340000001</v>
      </c>
    </row>
    <row r="14" spans="1:24" x14ac:dyDescent="0.25">
      <c r="A14" t="s">
        <v>24</v>
      </c>
      <c r="B14" t="s">
        <v>66</v>
      </c>
      <c r="C14">
        <v>71.213389079999999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32.321286209999997</v>
      </c>
      <c r="T14" t="s">
        <v>46</v>
      </c>
      <c r="U14">
        <v>2.161253748</v>
      </c>
      <c r="V14" t="s">
        <v>31</v>
      </c>
      <c r="W14" t="s">
        <v>32</v>
      </c>
      <c r="X14">
        <v>402.96878909999998</v>
      </c>
    </row>
    <row r="15" spans="1:24" x14ac:dyDescent="0.25">
      <c r="A15" t="s">
        <v>33</v>
      </c>
      <c r="B15" t="s">
        <v>67</v>
      </c>
      <c r="C15">
        <v>16.160393320000001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9.5372830610000001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97.829050109999997</v>
      </c>
      <c r="T15" t="s">
        <v>30</v>
      </c>
      <c r="U15">
        <v>1.6310742300000001</v>
      </c>
      <c r="V15" t="s">
        <v>31</v>
      </c>
      <c r="W15" t="s">
        <v>32</v>
      </c>
      <c r="X15">
        <v>547.24100520000002</v>
      </c>
    </row>
    <row r="16" spans="1:24" x14ac:dyDescent="0.25">
      <c r="A16" t="s">
        <v>33</v>
      </c>
      <c r="B16" t="s">
        <v>68</v>
      </c>
      <c r="C16">
        <v>99.171328639999999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5.7914366299999998</v>
      </c>
      <c r="T16" t="s">
        <v>30</v>
      </c>
      <c r="U16">
        <v>0.100682852</v>
      </c>
      <c r="V16" t="s">
        <v>40</v>
      </c>
      <c r="W16" t="s">
        <v>32</v>
      </c>
      <c r="X16">
        <v>929.23528999999996</v>
      </c>
    </row>
    <row r="17" spans="1:24" x14ac:dyDescent="0.25">
      <c r="A17" t="s">
        <v>33</v>
      </c>
      <c r="B17" t="s">
        <v>69</v>
      </c>
      <c r="C17">
        <v>36.989244929999998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2.4220397230000001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97.121281749999994</v>
      </c>
      <c r="T17" t="s">
        <v>64</v>
      </c>
      <c r="U17">
        <v>2.2644057609999999</v>
      </c>
      <c r="V17" t="s">
        <v>56</v>
      </c>
      <c r="W17" t="s">
        <v>32</v>
      </c>
      <c r="X17">
        <v>127.8618</v>
      </c>
    </row>
    <row r="18" spans="1:24" x14ac:dyDescent="0.25">
      <c r="A18" t="s">
        <v>33</v>
      </c>
      <c r="B18" t="s">
        <v>70</v>
      </c>
      <c r="C18">
        <v>7.54717211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4.1913245860000004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77.106342499999997</v>
      </c>
      <c r="T18" t="s">
        <v>64</v>
      </c>
      <c r="U18">
        <v>1.0125630889999999</v>
      </c>
      <c r="V18" t="s">
        <v>40</v>
      </c>
      <c r="W18" t="s">
        <v>48</v>
      </c>
      <c r="X18">
        <v>865.52577980000001</v>
      </c>
    </row>
    <row r="19" spans="1:24" x14ac:dyDescent="0.25">
      <c r="A19" t="s">
        <v>57</v>
      </c>
      <c r="B19" t="s">
        <v>71</v>
      </c>
      <c r="C19">
        <v>81.46253437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670.93439079999996</v>
      </c>
    </row>
    <row r="20" spans="1:24" x14ac:dyDescent="0.25">
      <c r="A20" t="s">
        <v>24</v>
      </c>
      <c r="B20" t="s">
        <v>72</v>
      </c>
      <c r="C20">
        <v>36.443627769999999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4.3392247140000002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27.107980850000001</v>
      </c>
      <c r="T20" t="s">
        <v>30</v>
      </c>
      <c r="U20">
        <v>2.231939111</v>
      </c>
      <c r="V20" t="s">
        <v>56</v>
      </c>
      <c r="W20" t="s">
        <v>48</v>
      </c>
      <c r="X20">
        <v>593.48025870000004</v>
      </c>
    </row>
    <row r="21" spans="1:24" x14ac:dyDescent="0.25">
      <c r="A21" t="s">
        <v>33</v>
      </c>
      <c r="B21" t="s">
        <v>73</v>
      </c>
      <c r="C21">
        <v>51.123870089999997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4.7426358830000002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82.373320590000006</v>
      </c>
      <c r="T21" t="s">
        <v>46</v>
      </c>
      <c r="U21">
        <v>3.6464508649999998</v>
      </c>
      <c r="V21" t="s">
        <v>31</v>
      </c>
      <c r="W21" t="s">
        <v>41</v>
      </c>
      <c r="X21">
        <v>477.30763109999998</v>
      </c>
    </row>
    <row r="22" spans="1:24" x14ac:dyDescent="0.25">
      <c r="A22" t="s">
        <v>33</v>
      </c>
      <c r="B22" t="s">
        <v>74</v>
      </c>
      <c r="C22">
        <v>96.341072440000005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8.8783346509999994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65.686259609999993</v>
      </c>
      <c r="T22" t="s">
        <v>64</v>
      </c>
      <c r="U22">
        <v>4.2314165739999998</v>
      </c>
      <c r="V22" t="s">
        <v>40</v>
      </c>
      <c r="W22" t="s">
        <v>32</v>
      </c>
      <c r="X22">
        <v>493.87121530000002</v>
      </c>
    </row>
    <row r="23" spans="1:24" x14ac:dyDescent="0.25">
      <c r="A23" t="s">
        <v>57</v>
      </c>
      <c r="B23" t="s">
        <v>75</v>
      </c>
      <c r="C23">
        <v>84.893868979999993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6.0378837689999996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61.735728950000002</v>
      </c>
      <c r="T23" t="s">
        <v>30</v>
      </c>
      <c r="U23">
        <v>1.8607568000000001E-2</v>
      </c>
      <c r="V23" t="s">
        <v>40</v>
      </c>
      <c r="W23" t="s">
        <v>41</v>
      </c>
      <c r="X23">
        <v>523.36091469999997</v>
      </c>
    </row>
    <row r="24" spans="1:24" x14ac:dyDescent="0.25">
      <c r="A24" t="s">
        <v>24</v>
      </c>
      <c r="B24" t="s">
        <v>76</v>
      </c>
      <c r="C24">
        <v>27.67978089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50.120839609999997</v>
      </c>
      <c r="T24" t="s">
        <v>46</v>
      </c>
      <c r="U24">
        <v>2.5912754730000001</v>
      </c>
      <c r="V24" t="s">
        <v>47</v>
      </c>
      <c r="W24" t="s">
        <v>41</v>
      </c>
      <c r="X24">
        <v>205.5719958</v>
      </c>
    </row>
    <row r="25" spans="1:24" x14ac:dyDescent="0.25">
      <c r="A25" t="s">
        <v>57</v>
      </c>
      <c r="B25" t="s">
        <v>77</v>
      </c>
      <c r="C25">
        <v>4.3243411859999998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2.9248576009999998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1.3422915630000001</v>
      </c>
      <c r="V25" t="s">
        <v>47</v>
      </c>
      <c r="W25" t="s">
        <v>48</v>
      </c>
      <c r="X25">
        <v>196.32944610000001</v>
      </c>
    </row>
    <row r="26" spans="1:24" x14ac:dyDescent="0.25">
      <c r="A26" t="s">
        <v>24</v>
      </c>
      <c r="B26" t="s">
        <v>78</v>
      </c>
      <c r="C26">
        <v>4.1563083589999996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9.7412916890000005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40.382359700000002</v>
      </c>
      <c r="T26" t="s">
        <v>30</v>
      </c>
      <c r="U26">
        <v>3.6913102929999999</v>
      </c>
      <c r="V26" t="s">
        <v>40</v>
      </c>
      <c r="W26" t="s">
        <v>48</v>
      </c>
      <c r="X26">
        <v>758.72477260000005</v>
      </c>
    </row>
    <row r="27" spans="1:24" x14ac:dyDescent="0.25">
      <c r="A27" t="s">
        <v>24</v>
      </c>
      <c r="B27" t="s">
        <v>79</v>
      </c>
      <c r="C27">
        <v>39.629343990000002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2.2310736809999998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78.280383119999996</v>
      </c>
      <c r="T27" t="s">
        <v>30</v>
      </c>
      <c r="U27">
        <v>3.7972312170000002</v>
      </c>
      <c r="V27" t="s">
        <v>31</v>
      </c>
      <c r="W27" t="s">
        <v>32</v>
      </c>
      <c r="X27">
        <v>458.53594570000001</v>
      </c>
    </row>
    <row r="28" spans="1:24" x14ac:dyDescent="0.25">
      <c r="A28" t="s">
        <v>24</v>
      </c>
      <c r="B28" t="s">
        <v>80</v>
      </c>
      <c r="C28">
        <v>97.446946620000006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6.5075486209999998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15.972229759999999</v>
      </c>
      <c r="T28" t="s">
        <v>64</v>
      </c>
      <c r="U28">
        <v>2.1193197370000001</v>
      </c>
      <c r="V28" t="s">
        <v>47</v>
      </c>
      <c r="W28" t="s">
        <v>48</v>
      </c>
      <c r="X28">
        <v>617.8669165</v>
      </c>
    </row>
    <row r="29" spans="1:24" x14ac:dyDescent="0.25">
      <c r="A29" t="s">
        <v>57</v>
      </c>
      <c r="B29" t="s">
        <v>81</v>
      </c>
      <c r="C29">
        <v>92.557360810000006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7.4067509530000004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10.528245070000001</v>
      </c>
      <c r="T29" t="s">
        <v>46</v>
      </c>
      <c r="U29">
        <v>2.8646678379999999</v>
      </c>
      <c r="V29" t="s">
        <v>56</v>
      </c>
      <c r="W29" t="s">
        <v>32</v>
      </c>
      <c r="X29">
        <v>762.45918219999999</v>
      </c>
    </row>
    <row r="30" spans="1:24" x14ac:dyDescent="0.25">
      <c r="A30" t="s">
        <v>57</v>
      </c>
      <c r="B30" t="s">
        <v>82</v>
      </c>
      <c r="C30">
        <v>2.3972747060000001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9.8981405079999991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59.429381810000002</v>
      </c>
      <c r="T30" t="s">
        <v>46</v>
      </c>
      <c r="U30">
        <v>0.81575707900000005</v>
      </c>
      <c r="V30" t="s">
        <v>40</v>
      </c>
      <c r="W30" t="s">
        <v>48</v>
      </c>
      <c r="X30">
        <v>123.4370275</v>
      </c>
    </row>
    <row r="31" spans="1:24" x14ac:dyDescent="0.25">
      <c r="A31" t="s">
        <v>57</v>
      </c>
      <c r="B31" t="s">
        <v>83</v>
      </c>
      <c r="C31">
        <v>63.44755919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8.1009731449999993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39.292875590000001</v>
      </c>
      <c r="T31" t="s">
        <v>64</v>
      </c>
      <c r="U31">
        <v>3.8780989369999999</v>
      </c>
      <c r="V31" t="s">
        <v>31</v>
      </c>
      <c r="W31" t="s">
        <v>32</v>
      </c>
      <c r="X31">
        <v>764.93537590000005</v>
      </c>
    </row>
    <row r="32" spans="1:24" x14ac:dyDescent="0.25">
      <c r="A32" t="s">
        <v>24</v>
      </c>
      <c r="B32" t="s">
        <v>84</v>
      </c>
      <c r="C32">
        <v>8.0228592110000001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8.9545283149999992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51.634893400000003</v>
      </c>
      <c r="T32" t="s">
        <v>30</v>
      </c>
      <c r="U32">
        <v>0.96539470500000002</v>
      </c>
      <c r="V32" t="s">
        <v>31</v>
      </c>
      <c r="W32" t="s">
        <v>41</v>
      </c>
      <c r="X32">
        <v>880.08098819999998</v>
      </c>
    </row>
    <row r="33" spans="1:24" x14ac:dyDescent="0.25">
      <c r="A33" t="s">
        <v>33</v>
      </c>
      <c r="B33" t="s">
        <v>85</v>
      </c>
      <c r="C33">
        <v>50.847393050000001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2.6796609650000001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60.251145659999999</v>
      </c>
      <c r="T33" t="s">
        <v>30</v>
      </c>
      <c r="U33">
        <v>2.989000007</v>
      </c>
      <c r="V33" t="s">
        <v>47</v>
      </c>
      <c r="W33" t="s">
        <v>41</v>
      </c>
      <c r="X33">
        <v>609.37920659999997</v>
      </c>
    </row>
    <row r="34" spans="1:24" x14ac:dyDescent="0.25">
      <c r="A34" t="s">
        <v>33</v>
      </c>
      <c r="B34" t="s">
        <v>86</v>
      </c>
      <c r="C34">
        <v>79.209936020000001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6.5991049009999996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29.692467149999999</v>
      </c>
      <c r="T34" t="s">
        <v>64</v>
      </c>
      <c r="U34">
        <v>1.946036119</v>
      </c>
      <c r="V34" t="s">
        <v>31</v>
      </c>
      <c r="W34" t="s">
        <v>48</v>
      </c>
      <c r="X34">
        <v>761.17390950000004</v>
      </c>
    </row>
    <row r="35" spans="1:24" x14ac:dyDescent="0.25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3.5410460119999998</v>
      </c>
      <c r="V35" t="s">
        <v>56</v>
      </c>
      <c r="W35" t="s">
        <v>48</v>
      </c>
      <c r="X35">
        <v>371.25529549999999</v>
      </c>
    </row>
    <row r="36" spans="1:24" x14ac:dyDescent="0.25">
      <c r="A36" t="s">
        <v>33</v>
      </c>
      <c r="B36" t="s">
        <v>88</v>
      </c>
      <c r="C36">
        <v>37.467592330000002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10.754272820000001</v>
      </c>
      <c r="T36" t="s">
        <v>64</v>
      </c>
      <c r="U36">
        <v>0.64660455900000002</v>
      </c>
      <c r="V36" t="s">
        <v>31</v>
      </c>
      <c r="W36" t="s">
        <v>32</v>
      </c>
      <c r="X36">
        <v>510.35800039999998</v>
      </c>
    </row>
    <row r="37" spans="1:24" x14ac:dyDescent="0.25">
      <c r="A37" t="s">
        <v>57</v>
      </c>
      <c r="B37" t="s">
        <v>89</v>
      </c>
      <c r="C37">
        <v>84.957786819999995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58.004787039999997</v>
      </c>
      <c r="T37" t="s">
        <v>64</v>
      </c>
      <c r="U37">
        <v>0.54115409800000003</v>
      </c>
      <c r="V37" t="s">
        <v>56</v>
      </c>
      <c r="W37" t="s">
        <v>41</v>
      </c>
      <c r="X37">
        <v>553.42047119999995</v>
      </c>
    </row>
    <row r="38" spans="1:24" x14ac:dyDescent="0.25">
      <c r="A38" t="s">
        <v>33</v>
      </c>
      <c r="B38" t="s">
        <v>90</v>
      </c>
      <c r="C38">
        <v>9.8130025790000008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2.1079512669999998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45.531364240000002</v>
      </c>
      <c r="T38" t="s">
        <v>46</v>
      </c>
      <c r="U38">
        <v>3.8055333789999999</v>
      </c>
      <c r="V38" t="s">
        <v>40</v>
      </c>
      <c r="W38" t="s">
        <v>41</v>
      </c>
      <c r="X38">
        <v>403.80897420000002</v>
      </c>
    </row>
    <row r="39" spans="1:24" x14ac:dyDescent="0.25">
      <c r="A39" t="s">
        <v>33</v>
      </c>
      <c r="B39" t="s">
        <v>91</v>
      </c>
      <c r="C39">
        <v>23.39984475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1.5326552739999999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34.343277469999997</v>
      </c>
      <c r="T39" t="s">
        <v>30</v>
      </c>
      <c r="U39">
        <v>2.6102880850000001</v>
      </c>
      <c r="V39" t="s">
        <v>56</v>
      </c>
      <c r="W39" t="s">
        <v>48</v>
      </c>
      <c r="X39">
        <v>183.93296799999999</v>
      </c>
    </row>
    <row r="40" spans="1:24" x14ac:dyDescent="0.25">
      <c r="A40" t="s">
        <v>57</v>
      </c>
      <c r="B40" t="s">
        <v>92</v>
      </c>
      <c r="C40">
        <v>52.075930679999999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9.2359314369999996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5.9306936459999999</v>
      </c>
      <c r="T40" t="s">
        <v>30</v>
      </c>
      <c r="U40">
        <v>0.61332689900000004</v>
      </c>
      <c r="V40" t="s">
        <v>40</v>
      </c>
      <c r="W40" t="s">
        <v>32</v>
      </c>
      <c r="X40">
        <v>339.67286990000002</v>
      </c>
    </row>
    <row r="41" spans="1:24" x14ac:dyDescent="0.25">
      <c r="A41" t="s">
        <v>33</v>
      </c>
      <c r="B41" t="s">
        <v>93</v>
      </c>
      <c r="C41">
        <v>19.12747727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9.0058074290000008</v>
      </c>
      <c r="T41" t="s">
        <v>46</v>
      </c>
      <c r="U41">
        <v>1.451972204</v>
      </c>
      <c r="V41" t="s">
        <v>40</v>
      </c>
      <c r="W41" t="s">
        <v>32</v>
      </c>
      <c r="X41">
        <v>653.67299460000004</v>
      </c>
    </row>
    <row r="42" spans="1:24" x14ac:dyDescent="0.25">
      <c r="A42" t="s">
        <v>33</v>
      </c>
      <c r="B42" t="s">
        <v>94</v>
      </c>
      <c r="C42">
        <v>80.541424169999999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88.179407100000006</v>
      </c>
      <c r="T42" t="s">
        <v>30</v>
      </c>
      <c r="U42">
        <v>4.2132694309999996</v>
      </c>
      <c r="V42" t="s">
        <v>31</v>
      </c>
      <c r="W42" t="s">
        <v>48</v>
      </c>
      <c r="X42">
        <v>529.80872399999998</v>
      </c>
    </row>
    <row r="43" spans="1:24" x14ac:dyDescent="0.25">
      <c r="A43" t="s">
        <v>33</v>
      </c>
      <c r="B43" t="s">
        <v>95</v>
      </c>
      <c r="C43">
        <v>99.113291619999998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5.7732637440000003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95.332064549999998</v>
      </c>
      <c r="T43" t="s">
        <v>46</v>
      </c>
      <c r="U43">
        <v>4.5302262000000003E-2</v>
      </c>
      <c r="V43" t="s">
        <v>56</v>
      </c>
      <c r="W43" t="s">
        <v>48</v>
      </c>
      <c r="X43">
        <v>275.5243711</v>
      </c>
    </row>
    <row r="44" spans="1:24" x14ac:dyDescent="0.25">
      <c r="A44" t="s">
        <v>33</v>
      </c>
      <c r="B44" t="s">
        <v>96</v>
      </c>
      <c r="C44">
        <v>46.529167610000002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7.5262483270000002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96.422820639999998</v>
      </c>
      <c r="T44" t="s">
        <v>46</v>
      </c>
      <c r="U44">
        <v>4.9392552890000001</v>
      </c>
      <c r="V44" t="s">
        <v>31</v>
      </c>
      <c r="W44" t="s">
        <v>48</v>
      </c>
      <c r="X44">
        <v>635.65712050000002</v>
      </c>
    </row>
    <row r="45" spans="1:24" x14ac:dyDescent="0.25">
      <c r="A45" t="s">
        <v>24</v>
      </c>
      <c r="B45" t="s">
        <v>97</v>
      </c>
      <c r="C45">
        <v>11.743271780000001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26.277365960000001</v>
      </c>
      <c r="T45" t="s">
        <v>30</v>
      </c>
      <c r="U45">
        <v>0.37230476800000001</v>
      </c>
      <c r="V45" t="s">
        <v>40</v>
      </c>
      <c r="W45" t="s">
        <v>48</v>
      </c>
      <c r="X45">
        <v>716.04411979999998</v>
      </c>
    </row>
    <row r="46" spans="1:24" x14ac:dyDescent="0.25">
      <c r="A46" t="s">
        <v>57</v>
      </c>
      <c r="B46" t="s">
        <v>98</v>
      </c>
      <c r="C46">
        <v>51.355790910000003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7.5774496569999998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22.554106619999999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</row>
    <row r="47" spans="1:24" x14ac:dyDescent="0.25">
      <c r="A47" t="s">
        <v>24</v>
      </c>
      <c r="B47" t="s">
        <v>99</v>
      </c>
      <c r="C47">
        <v>33.784138030000001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5.2151550090000001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66.312544439999996</v>
      </c>
      <c r="T47" t="s">
        <v>64</v>
      </c>
      <c r="U47">
        <v>3.2196046119999999</v>
      </c>
      <c r="V47" t="s">
        <v>47</v>
      </c>
      <c r="W47" t="s">
        <v>48</v>
      </c>
      <c r="X47">
        <v>495.30569700000001</v>
      </c>
    </row>
    <row r="48" spans="1:24" x14ac:dyDescent="0.25">
      <c r="A48" t="s">
        <v>24</v>
      </c>
      <c r="B48" t="s">
        <v>100</v>
      </c>
      <c r="C48">
        <v>27.082207199999999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4.0709558369999996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77.322353210000003</v>
      </c>
      <c r="T48" t="s">
        <v>30</v>
      </c>
      <c r="U48">
        <v>3.6486105929999999</v>
      </c>
      <c r="V48" t="s">
        <v>31</v>
      </c>
      <c r="W48" t="s">
        <v>32</v>
      </c>
      <c r="X48">
        <v>380.43593709999999</v>
      </c>
    </row>
    <row r="49" spans="1:24" x14ac:dyDescent="0.25">
      <c r="A49" t="s">
        <v>33</v>
      </c>
      <c r="B49" t="s">
        <v>101</v>
      </c>
      <c r="C49">
        <v>95.712135880000005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8.9787507560000002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19.712992910000001</v>
      </c>
      <c r="T49" t="s">
        <v>30</v>
      </c>
      <c r="U49">
        <v>0.38057358699999999</v>
      </c>
      <c r="V49" t="s">
        <v>47</v>
      </c>
      <c r="W49" t="s">
        <v>48</v>
      </c>
      <c r="X49">
        <v>581.60235509999995</v>
      </c>
    </row>
    <row r="50" spans="1:24" x14ac:dyDescent="0.25">
      <c r="A50" t="s">
        <v>24</v>
      </c>
      <c r="B50" t="s">
        <v>102</v>
      </c>
      <c r="C50">
        <v>76.035544430000002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7.0958331570000004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768.65191400000003</v>
      </c>
    </row>
    <row r="51" spans="1:24" x14ac:dyDescent="0.25">
      <c r="A51" t="s">
        <v>57</v>
      </c>
      <c r="B51" t="s">
        <v>103</v>
      </c>
      <c r="C51">
        <v>78.897913209999999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2.5056210330000002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2.8258139849999999</v>
      </c>
      <c r="V51" t="s">
        <v>47</v>
      </c>
      <c r="W51" t="s">
        <v>48</v>
      </c>
      <c r="X51">
        <v>336.89016850000002</v>
      </c>
    </row>
    <row r="52" spans="1:24" x14ac:dyDescent="0.25">
      <c r="A52" t="s">
        <v>57</v>
      </c>
      <c r="B52" t="s">
        <v>104</v>
      </c>
      <c r="C52">
        <v>14.20348426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6.2478609150000004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45.178757920000002</v>
      </c>
      <c r="T52" t="s">
        <v>46</v>
      </c>
      <c r="U52">
        <v>4.7548008050000004</v>
      </c>
      <c r="V52" t="s">
        <v>47</v>
      </c>
      <c r="W52" t="s">
        <v>32</v>
      </c>
      <c r="X52">
        <v>496.24865030000001</v>
      </c>
    </row>
    <row r="53" spans="1:24" x14ac:dyDescent="0.25">
      <c r="A53" t="s">
        <v>24</v>
      </c>
      <c r="B53" t="s">
        <v>105</v>
      </c>
      <c r="C53">
        <v>26.700760970000001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4.7830005580000003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14.190328340000001</v>
      </c>
      <c r="T53" t="s">
        <v>30</v>
      </c>
      <c r="U53">
        <v>1.772951172</v>
      </c>
      <c r="V53" t="s">
        <v>31</v>
      </c>
      <c r="W53" t="s">
        <v>48</v>
      </c>
      <c r="X53">
        <v>694.98231759999999</v>
      </c>
    </row>
    <row r="54" spans="1:24" x14ac:dyDescent="0.25">
      <c r="A54" t="s">
        <v>33</v>
      </c>
      <c r="B54" t="s">
        <v>106</v>
      </c>
      <c r="C54">
        <v>98.03182966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8.6310521799999993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9.1668491490000008</v>
      </c>
      <c r="T54" t="s">
        <v>30</v>
      </c>
      <c r="U54">
        <v>2.1224716190000001</v>
      </c>
      <c r="V54" t="s">
        <v>40</v>
      </c>
      <c r="W54" t="s">
        <v>41</v>
      </c>
      <c r="X54">
        <v>602.89849879999997</v>
      </c>
    </row>
    <row r="55" spans="1:24" x14ac:dyDescent="0.25">
      <c r="A55" t="s">
        <v>33</v>
      </c>
      <c r="B55" t="s">
        <v>107</v>
      </c>
      <c r="C55">
        <v>30.341470709999999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1.0134865660000001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83.344058989999994</v>
      </c>
      <c r="T55" t="s">
        <v>30</v>
      </c>
      <c r="U55">
        <v>1.4103475759999999</v>
      </c>
      <c r="V55" t="s">
        <v>40</v>
      </c>
      <c r="W55" t="s">
        <v>32</v>
      </c>
      <c r="X55">
        <v>750.73784069999999</v>
      </c>
    </row>
    <row r="56" spans="1:24" x14ac:dyDescent="0.25">
      <c r="A56" t="s">
        <v>24</v>
      </c>
      <c r="B56" t="s">
        <v>108</v>
      </c>
      <c r="C56">
        <v>31.146243160000001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4.3051034709999998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30.186023380000002</v>
      </c>
      <c r="T56" t="s">
        <v>64</v>
      </c>
      <c r="U56">
        <v>2.478771976</v>
      </c>
      <c r="V56" t="s">
        <v>31</v>
      </c>
      <c r="W56" t="s">
        <v>32</v>
      </c>
      <c r="X56">
        <v>814.06999659999997</v>
      </c>
    </row>
    <row r="57" spans="1:24" x14ac:dyDescent="0.25">
      <c r="A57" t="s">
        <v>24</v>
      </c>
      <c r="B57" t="s">
        <v>109</v>
      </c>
      <c r="C57">
        <v>79.855058339999999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5.0143649549999996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4.5489196590000001</v>
      </c>
      <c r="V57" t="s">
        <v>56</v>
      </c>
      <c r="W57" t="s">
        <v>32</v>
      </c>
      <c r="X57">
        <v>323.01292799999999</v>
      </c>
    </row>
    <row r="58" spans="1:24" x14ac:dyDescent="0.25">
      <c r="A58" t="s">
        <v>33</v>
      </c>
      <c r="B58" t="s">
        <v>110</v>
      </c>
      <c r="C58">
        <v>20.986386039999999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832.21080870000003</v>
      </c>
    </row>
    <row r="59" spans="1:24" x14ac:dyDescent="0.25">
      <c r="A59" t="s">
        <v>24</v>
      </c>
      <c r="B59" t="s">
        <v>111</v>
      </c>
      <c r="C59">
        <v>49.26320535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9.1605585349999998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67.779622989999993</v>
      </c>
      <c r="T59" t="s">
        <v>30</v>
      </c>
      <c r="U59">
        <v>2.5111748299999999</v>
      </c>
      <c r="V59" t="s">
        <v>47</v>
      </c>
      <c r="W59" t="s">
        <v>48</v>
      </c>
      <c r="X59">
        <v>482.19123860000002</v>
      </c>
    </row>
    <row r="60" spans="1:24" x14ac:dyDescent="0.25">
      <c r="A60" t="s">
        <v>33</v>
      </c>
      <c r="B60" t="s">
        <v>112</v>
      </c>
      <c r="C60">
        <v>59.841561380000002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4.9384385650000002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65.047415090000001</v>
      </c>
      <c r="T60" t="s">
        <v>46</v>
      </c>
      <c r="U60">
        <v>1.7303747199999999</v>
      </c>
      <c r="V60" t="s">
        <v>31</v>
      </c>
      <c r="W60" t="s">
        <v>32</v>
      </c>
      <c r="X60">
        <v>110.3643352</v>
      </c>
    </row>
    <row r="61" spans="1:24" x14ac:dyDescent="0.25">
      <c r="A61" t="s">
        <v>57</v>
      </c>
      <c r="B61" t="s">
        <v>113</v>
      </c>
      <c r="C61">
        <v>63.828398350000001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7.2937225970000004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312.57427360000003</v>
      </c>
    </row>
    <row r="62" spans="1:24" x14ac:dyDescent="0.25">
      <c r="A62" t="s">
        <v>33</v>
      </c>
      <c r="B62" t="s">
        <v>114</v>
      </c>
      <c r="C62">
        <v>17.02802792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4.3813681579999999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87.213057820000003</v>
      </c>
      <c r="T62" t="s">
        <v>46</v>
      </c>
      <c r="U62">
        <v>2.8530906169999999</v>
      </c>
      <c r="V62" t="s">
        <v>47</v>
      </c>
      <c r="W62" t="s">
        <v>48</v>
      </c>
      <c r="X62">
        <v>430.16909700000002</v>
      </c>
    </row>
    <row r="63" spans="1:24" x14ac:dyDescent="0.25">
      <c r="A63" t="s">
        <v>24</v>
      </c>
      <c r="B63" t="s">
        <v>115</v>
      </c>
      <c r="C63">
        <v>52.028749900000001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9.0303404230000002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78.702393970000003</v>
      </c>
      <c r="T63" t="s">
        <v>46</v>
      </c>
      <c r="U63">
        <v>4.3674705380000001</v>
      </c>
      <c r="V63" t="s">
        <v>40</v>
      </c>
      <c r="W63" t="s">
        <v>48</v>
      </c>
      <c r="X63">
        <v>164.3665282</v>
      </c>
    </row>
    <row r="64" spans="1:24" x14ac:dyDescent="0.25">
      <c r="A64" t="s">
        <v>57</v>
      </c>
      <c r="B64" t="s">
        <v>116</v>
      </c>
      <c r="C64">
        <v>72.796353960000005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21.048642730000001</v>
      </c>
      <c r="T64" t="s">
        <v>64</v>
      </c>
      <c r="U64">
        <v>1.8740014039999999</v>
      </c>
      <c r="V64" t="s">
        <v>56</v>
      </c>
      <c r="W64" t="s">
        <v>41</v>
      </c>
      <c r="X64">
        <v>320.84651580000002</v>
      </c>
    </row>
    <row r="65" spans="1:24" x14ac:dyDescent="0.25">
      <c r="A65" t="s">
        <v>33</v>
      </c>
      <c r="B65" t="s">
        <v>117</v>
      </c>
      <c r="C65">
        <v>13.01737679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2.4579335279999999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20.075003980000002</v>
      </c>
      <c r="T65" t="s">
        <v>30</v>
      </c>
      <c r="U65">
        <v>3.6328432899999998</v>
      </c>
      <c r="V65" t="s">
        <v>56</v>
      </c>
      <c r="W65" t="s">
        <v>48</v>
      </c>
      <c r="X65">
        <v>687.28617789999998</v>
      </c>
    </row>
    <row r="66" spans="1:24" x14ac:dyDescent="0.25">
      <c r="A66" t="s">
        <v>33</v>
      </c>
      <c r="B66" t="s">
        <v>118</v>
      </c>
      <c r="C66">
        <v>89.634095610000003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4.5853534680000001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8.6930424259999999</v>
      </c>
      <c r="T66" t="s">
        <v>46</v>
      </c>
      <c r="U66">
        <v>0.15948631499999999</v>
      </c>
      <c r="V66" t="s">
        <v>40</v>
      </c>
      <c r="W66" t="s">
        <v>41</v>
      </c>
      <c r="X66">
        <v>771.22508470000002</v>
      </c>
    </row>
    <row r="67" spans="1:24" x14ac:dyDescent="0.25">
      <c r="A67" t="s">
        <v>33</v>
      </c>
      <c r="B67" t="s">
        <v>119</v>
      </c>
      <c r="C67">
        <v>33.69771721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6.5805413479999997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1.5972227429999999</v>
      </c>
      <c r="T67" t="s">
        <v>46</v>
      </c>
      <c r="U67">
        <v>4.9110959550000004</v>
      </c>
      <c r="V67" t="s">
        <v>47</v>
      </c>
      <c r="W67" t="s">
        <v>41</v>
      </c>
      <c r="X67">
        <v>555.85910369999999</v>
      </c>
    </row>
    <row r="68" spans="1:24" x14ac:dyDescent="0.25">
      <c r="A68" t="s">
        <v>33</v>
      </c>
      <c r="B68" t="s">
        <v>120</v>
      </c>
      <c r="C68">
        <v>26.03486977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42.084436740000001</v>
      </c>
      <c r="T68" t="s">
        <v>46</v>
      </c>
      <c r="U68">
        <v>3.4480632880000002</v>
      </c>
      <c r="V68" t="s">
        <v>31</v>
      </c>
      <c r="W68" t="s">
        <v>48</v>
      </c>
      <c r="X68">
        <v>393.84334860000001</v>
      </c>
    </row>
    <row r="69" spans="1:24" x14ac:dyDescent="0.25">
      <c r="A69" t="s">
        <v>33</v>
      </c>
      <c r="B69" t="s">
        <v>121</v>
      </c>
      <c r="C69">
        <v>87.755432350000007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9.1478115449999997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0.13195544400000001</v>
      </c>
      <c r="V69" t="s">
        <v>56</v>
      </c>
      <c r="W69" t="s">
        <v>41</v>
      </c>
      <c r="X69">
        <v>169.27180139999999</v>
      </c>
    </row>
    <row r="70" spans="1:24" x14ac:dyDescent="0.25">
      <c r="A70" t="s">
        <v>24</v>
      </c>
      <c r="B70" t="s">
        <v>122</v>
      </c>
      <c r="C70">
        <v>37.931812379999997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1.9834678720000001</v>
      </c>
      <c r="V70" t="s">
        <v>47</v>
      </c>
      <c r="W70" t="s">
        <v>48</v>
      </c>
      <c r="X70">
        <v>299.70630310000001</v>
      </c>
    </row>
    <row r="71" spans="1:24" x14ac:dyDescent="0.25">
      <c r="A71" t="s">
        <v>33</v>
      </c>
      <c r="B71" t="s">
        <v>123</v>
      </c>
      <c r="C71">
        <v>54.865528519999998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9.7052867900000006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1.3623879889999999</v>
      </c>
      <c r="V71" t="s">
        <v>40</v>
      </c>
      <c r="W71" t="s">
        <v>48</v>
      </c>
      <c r="X71">
        <v>207.66320619999999</v>
      </c>
    </row>
    <row r="72" spans="1:24" x14ac:dyDescent="0.25">
      <c r="A72" t="s">
        <v>24</v>
      </c>
      <c r="B72" t="s">
        <v>124</v>
      </c>
      <c r="C72">
        <v>47.914541819999997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6.3157177549999997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1.8305755990000001</v>
      </c>
      <c r="V72" t="s">
        <v>31</v>
      </c>
      <c r="W72" t="s">
        <v>41</v>
      </c>
      <c r="X72">
        <v>183.27289870000001</v>
      </c>
    </row>
    <row r="73" spans="1:24" x14ac:dyDescent="0.25">
      <c r="A73" t="s">
        <v>57</v>
      </c>
      <c r="B73" t="s">
        <v>125</v>
      </c>
      <c r="C73">
        <v>6.3815331630000003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9.2281903169999993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30.661677480000002</v>
      </c>
      <c r="T73" t="s">
        <v>30</v>
      </c>
      <c r="U73">
        <v>2.078750608</v>
      </c>
      <c r="V73" t="s">
        <v>31</v>
      </c>
      <c r="W73" t="s">
        <v>48</v>
      </c>
      <c r="X73">
        <v>405.16706790000001</v>
      </c>
    </row>
    <row r="74" spans="1:24" x14ac:dyDescent="0.25">
      <c r="A74" t="s">
        <v>57</v>
      </c>
      <c r="B74" t="s">
        <v>126</v>
      </c>
      <c r="C74">
        <v>90.204427519999996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6.5996141599999998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55.760492900000003</v>
      </c>
      <c r="T74" t="s">
        <v>30</v>
      </c>
      <c r="U74">
        <v>3.2133296069999999</v>
      </c>
      <c r="V74" t="s">
        <v>47</v>
      </c>
      <c r="W74" t="s">
        <v>32</v>
      </c>
      <c r="X74">
        <v>677.94456979999995</v>
      </c>
    </row>
    <row r="75" spans="1:24" x14ac:dyDescent="0.25">
      <c r="A75" t="s">
        <v>57</v>
      </c>
      <c r="B75" t="s">
        <v>127</v>
      </c>
      <c r="C75">
        <v>83.851017679999998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46.870238800000003</v>
      </c>
      <c r="T75" t="s">
        <v>46</v>
      </c>
      <c r="U75">
        <v>4.6205460650000001</v>
      </c>
      <c r="V75" t="s">
        <v>31</v>
      </c>
      <c r="W75" t="s">
        <v>48</v>
      </c>
      <c r="X75">
        <v>866.47280009999997</v>
      </c>
    </row>
    <row r="76" spans="1:24" x14ac:dyDescent="0.25">
      <c r="A76" t="s">
        <v>24</v>
      </c>
      <c r="B76" t="s">
        <v>128</v>
      </c>
      <c r="C76">
        <v>3.1700114140000002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5.2376546499999996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80.580852160000006</v>
      </c>
      <c r="T76" t="s">
        <v>46</v>
      </c>
      <c r="U76">
        <v>0.39661272400000003</v>
      </c>
      <c r="V76" t="s">
        <v>47</v>
      </c>
      <c r="W76" t="s">
        <v>48</v>
      </c>
      <c r="X76">
        <v>341.55265680000002</v>
      </c>
    </row>
    <row r="77" spans="1:24" x14ac:dyDescent="0.25">
      <c r="A77" t="s">
        <v>33</v>
      </c>
      <c r="B77" t="s">
        <v>129</v>
      </c>
      <c r="C77">
        <v>92.996884230000006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2.4738977609999999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48.064782639999997</v>
      </c>
      <c r="T77" t="s">
        <v>64</v>
      </c>
      <c r="U77">
        <v>2.0300690889999999</v>
      </c>
      <c r="V77" t="s">
        <v>40</v>
      </c>
      <c r="W77" t="s">
        <v>41</v>
      </c>
      <c r="X77">
        <v>873.12964799999997</v>
      </c>
    </row>
    <row r="78" spans="1:24" x14ac:dyDescent="0.25">
      <c r="A78" t="s">
        <v>24</v>
      </c>
      <c r="B78" t="s">
        <v>130</v>
      </c>
      <c r="C78">
        <v>69.108799550000001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7.0545383370000003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64.323597800000002</v>
      </c>
      <c r="T78" t="s">
        <v>30</v>
      </c>
      <c r="U78">
        <v>2.1800374520000001</v>
      </c>
      <c r="V78" t="s">
        <v>47</v>
      </c>
      <c r="W78" t="s">
        <v>48</v>
      </c>
      <c r="X78">
        <v>997.41345009999998</v>
      </c>
    </row>
    <row r="79" spans="1:24" x14ac:dyDescent="0.25">
      <c r="A79" t="s">
        <v>24</v>
      </c>
      <c r="B79" t="s">
        <v>131</v>
      </c>
      <c r="C79">
        <v>57.449742960000002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6.7809466260000004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42.952444749999998</v>
      </c>
      <c r="T79" t="s">
        <v>64</v>
      </c>
      <c r="U79">
        <v>3.0551418180000001</v>
      </c>
      <c r="V79" t="s">
        <v>31</v>
      </c>
      <c r="W79" t="s">
        <v>32</v>
      </c>
      <c r="X79">
        <v>852.5680989</v>
      </c>
    </row>
    <row r="80" spans="1:24" x14ac:dyDescent="0.25">
      <c r="A80" t="s">
        <v>24</v>
      </c>
      <c r="B80" t="s">
        <v>132</v>
      </c>
      <c r="C80">
        <v>6.3068831760000004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8.4670497709999992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71.126514720000003</v>
      </c>
      <c r="T80" t="s">
        <v>30</v>
      </c>
      <c r="U80">
        <v>4.0968813319999997</v>
      </c>
      <c r="V80" t="s">
        <v>56</v>
      </c>
      <c r="W80" t="s">
        <v>41</v>
      </c>
      <c r="X80">
        <v>323.59220340000002</v>
      </c>
    </row>
    <row r="81" spans="1:24" x14ac:dyDescent="0.25">
      <c r="A81" t="s">
        <v>24</v>
      </c>
      <c r="B81" t="s">
        <v>133</v>
      </c>
      <c r="C81">
        <v>57.057031219999999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6.4963253639999996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57.870902919999999</v>
      </c>
      <c r="T81" t="s">
        <v>30</v>
      </c>
      <c r="U81">
        <v>0.16587162699999999</v>
      </c>
      <c r="V81" t="s">
        <v>40</v>
      </c>
      <c r="W81" t="s">
        <v>41</v>
      </c>
      <c r="X81">
        <v>351.50421929999999</v>
      </c>
    </row>
    <row r="82" spans="1:24" x14ac:dyDescent="0.25">
      <c r="A82" t="s">
        <v>33</v>
      </c>
      <c r="B82" t="s">
        <v>134</v>
      </c>
      <c r="C82">
        <v>91.128318350000001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2.8331846789999999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76.961228019999993</v>
      </c>
      <c r="T82" t="s">
        <v>46</v>
      </c>
      <c r="U82">
        <v>2.849662199</v>
      </c>
      <c r="V82" t="s">
        <v>56</v>
      </c>
      <c r="W82" t="s">
        <v>32</v>
      </c>
      <c r="X82">
        <v>787.77985049999995</v>
      </c>
    </row>
    <row r="83" spans="1:24" x14ac:dyDescent="0.25">
      <c r="A83" t="s">
        <v>24</v>
      </c>
      <c r="B83" t="s">
        <v>135</v>
      </c>
      <c r="C83">
        <v>72.819206930000007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4.0662775020000002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19.789592939999999</v>
      </c>
      <c r="T83" t="s">
        <v>30</v>
      </c>
      <c r="U83">
        <v>2.5475471220000001</v>
      </c>
      <c r="V83" t="s">
        <v>47</v>
      </c>
      <c r="W83" t="s">
        <v>32</v>
      </c>
      <c r="X83">
        <v>276.7783359</v>
      </c>
    </row>
    <row r="84" spans="1:24" x14ac:dyDescent="0.25">
      <c r="A84" t="s">
        <v>33</v>
      </c>
      <c r="B84" t="s">
        <v>136</v>
      </c>
      <c r="C84">
        <v>17.03493074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4.7081818740000001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4.4652784350000001</v>
      </c>
      <c r="T84" t="s">
        <v>30</v>
      </c>
      <c r="U84">
        <v>4.1378770490000001</v>
      </c>
      <c r="V84" t="s">
        <v>31</v>
      </c>
      <c r="W84" t="s">
        <v>41</v>
      </c>
      <c r="X84">
        <v>589.97855560000005</v>
      </c>
    </row>
    <row r="85" spans="1:24" x14ac:dyDescent="0.25">
      <c r="A85" t="s">
        <v>24</v>
      </c>
      <c r="B85" t="s">
        <v>137</v>
      </c>
      <c r="C85">
        <v>68.911246210000002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4.9498395779999997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97.730593799999994</v>
      </c>
      <c r="T85" t="s">
        <v>46</v>
      </c>
      <c r="U85">
        <v>0.77300613399999996</v>
      </c>
      <c r="V85" t="s">
        <v>31</v>
      </c>
      <c r="W85" t="s">
        <v>48</v>
      </c>
      <c r="X85">
        <v>682.9710182</v>
      </c>
    </row>
    <row r="86" spans="1:24" x14ac:dyDescent="0.25">
      <c r="A86" t="s">
        <v>24</v>
      </c>
      <c r="B86" t="s">
        <v>138</v>
      </c>
      <c r="C86">
        <v>89.104367289999999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8.3816156250000002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33.808636509999999</v>
      </c>
      <c r="T86" t="s">
        <v>64</v>
      </c>
      <c r="U86">
        <v>4.8434565770000004</v>
      </c>
      <c r="V86" t="s">
        <v>40</v>
      </c>
      <c r="W86" t="s">
        <v>32</v>
      </c>
      <c r="X86">
        <v>465.45700599999998</v>
      </c>
    </row>
    <row r="87" spans="1:24" x14ac:dyDescent="0.25">
      <c r="A87" t="s">
        <v>57</v>
      </c>
      <c r="B87" t="s">
        <v>139</v>
      </c>
      <c r="C87">
        <v>76.962994420000001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8.2491687050000007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69.929345519999998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25">
      <c r="A88" t="s">
        <v>33</v>
      </c>
      <c r="B88" t="s">
        <v>140</v>
      </c>
      <c r="C88">
        <v>19.99817694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1.4543053100000001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</row>
    <row r="89" spans="1:24" x14ac:dyDescent="0.25">
      <c r="A89" t="s">
        <v>24</v>
      </c>
      <c r="B89" t="s">
        <v>141</v>
      </c>
      <c r="C89">
        <v>80.41403665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6.5758037979999999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28.696996819999999</v>
      </c>
      <c r="T89" t="s">
        <v>46</v>
      </c>
      <c r="U89">
        <v>3.693737788</v>
      </c>
      <c r="V89" t="s">
        <v>56</v>
      </c>
      <c r="W89" t="s">
        <v>32</v>
      </c>
      <c r="X89">
        <v>879.35921770000004</v>
      </c>
    </row>
    <row r="90" spans="1:24" x14ac:dyDescent="0.25">
      <c r="A90" t="s">
        <v>57</v>
      </c>
      <c r="B90" t="s">
        <v>142</v>
      </c>
      <c r="C90">
        <v>75.270406980000004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3.8012531329999999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68.184919059999999</v>
      </c>
      <c r="T90" t="s">
        <v>30</v>
      </c>
      <c r="U90">
        <v>0.72220440200000002</v>
      </c>
      <c r="V90" t="s">
        <v>56</v>
      </c>
      <c r="W90" t="s">
        <v>48</v>
      </c>
      <c r="X90">
        <v>103.916248</v>
      </c>
    </row>
    <row r="91" spans="1:24" x14ac:dyDescent="0.25">
      <c r="A91" t="s">
        <v>57</v>
      </c>
      <c r="B91" t="s">
        <v>143</v>
      </c>
      <c r="C91">
        <v>97.760085579999995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9.9298162449999996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46.603873380000003</v>
      </c>
      <c r="T91" t="s">
        <v>30</v>
      </c>
      <c r="U91">
        <v>1.9076657340000001</v>
      </c>
      <c r="V91" t="s">
        <v>47</v>
      </c>
      <c r="W91" t="s">
        <v>32</v>
      </c>
      <c r="X91">
        <v>517.49997389999999</v>
      </c>
    </row>
    <row r="92" spans="1:24" x14ac:dyDescent="0.25">
      <c r="A92" t="s">
        <v>33</v>
      </c>
      <c r="B92" t="s">
        <v>144</v>
      </c>
      <c r="C92">
        <v>13.8819135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85.675963339999996</v>
      </c>
      <c r="T92" t="s">
        <v>64</v>
      </c>
      <c r="U92">
        <v>1.2193822240000001</v>
      </c>
      <c r="V92" t="s">
        <v>47</v>
      </c>
      <c r="W92" t="s">
        <v>32</v>
      </c>
      <c r="X92">
        <v>990.07847249999998</v>
      </c>
    </row>
    <row r="93" spans="1:24" x14ac:dyDescent="0.25">
      <c r="A93" t="s">
        <v>57</v>
      </c>
      <c r="B93" t="s">
        <v>145</v>
      </c>
      <c r="C93">
        <v>62.11196546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7.4715140839999998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39.772882500000001</v>
      </c>
      <c r="T93" t="s">
        <v>30</v>
      </c>
      <c r="U93">
        <v>0.62600185799999997</v>
      </c>
      <c r="V93" t="s">
        <v>47</v>
      </c>
      <c r="W93" t="s">
        <v>32</v>
      </c>
      <c r="X93">
        <v>996.77831500000002</v>
      </c>
    </row>
    <row r="94" spans="1:24" x14ac:dyDescent="0.25">
      <c r="A94" t="s">
        <v>57</v>
      </c>
      <c r="B94" t="s">
        <v>146</v>
      </c>
      <c r="C94">
        <v>47.71423308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4.4695000260000004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62.612690399999998</v>
      </c>
      <c r="T94" t="s">
        <v>64</v>
      </c>
      <c r="U94">
        <v>0.33343182500000002</v>
      </c>
      <c r="V94" t="s">
        <v>47</v>
      </c>
      <c r="W94" t="s">
        <v>32</v>
      </c>
      <c r="X94">
        <v>230.0927825</v>
      </c>
    </row>
    <row r="95" spans="1:24" x14ac:dyDescent="0.25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7.0064320589999998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35.633652339999998</v>
      </c>
      <c r="T95" t="s">
        <v>46</v>
      </c>
      <c r="U95">
        <v>4.165781795</v>
      </c>
      <c r="V95" t="s">
        <v>40</v>
      </c>
      <c r="W95" t="s">
        <v>48</v>
      </c>
      <c r="X95">
        <v>823.52384589999997</v>
      </c>
    </row>
    <row r="96" spans="1:24" x14ac:dyDescent="0.25">
      <c r="A96" t="s">
        <v>57</v>
      </c>
      <c r="B96" t="s">
        <v>148</v>
      </c>
      <c r="C96">
        <v>3.0376887250000002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6.9429459419999997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60.387378609999999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</row>
    <row r="97" spans="1:24" x14ac:dyDescent="0.25">
      <c r="A97" t="s">
        <v>24</v>
      </c>
      <c r="B97" t="s">
        <v>149</v>
      </c>
      <c r="C97">
        <v>77.90392722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8.6303388699999992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58.890685769999997</v>
      </c>
      <c r="T97" t="s">
        <v>30</v>
      </c>
      <c r="U97">
        <v>1.2108821299999999</v>
      </c>
      <c r="V97" t="s">
        <v>40</v>
      </c>
      <c r="W97" t="s">
        <v>48</v>
      </c>
      <c r="X97">
        <v>778.86424139999997</v>
      </c>
    </row>
    <row r="98" spans="1:24" x14ac:dyDescent="0.25">
      <c r="A98" t="s">
        <v>57</v>
      </c>
      <c r="B98" t="s">
        <v>150</v>
      </c>
      <c r="C98">
        <v>24.423131420000001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5.3528780439999997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17.803756329999999</v>
      </c>
      <c r="T98" t="s">
        <v>30</v>
      </c>
      <c r="U98">
        <v>3.8720476810000002</v>
      </c>
      <c r="V98" t="s">
        <v>31</v>
      </c>
      <c r="W98" t="s">
        <v>48</v>
      </c>
      <c r="X98">
        <v>188.7421411</v>
      </c>
    </row>
    <row r="99" spans="1:24" x14ac:dyDescent="0.25">
      <c r="A99" t="s">
        <v>24</v>
      </c>
      <c r="B99" t="s">
        <v>151</v>
      </c>
      <c r="C99">
        <v>3.5261112589999999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7.9048456109999998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65.765155930000006</v>
      </c>
      <c r="T99" t="s">
        <v>46</v>
      </c>
      <c r="U99">
        <v>3.376237835</v>
      </c>
      <c r="V99" t="s">
        <v>31</v>
      </c>
      <c r="W99" t="s">
        <v>48</v>
      </c>
      <c r="X99">
        <v>540.13242290000005</v>
      </c>
    </row>
    <row r="100" spans="1:24" x14ac:dyDescent="0.25">
      <c r="A100" t="s">
        <v>33</v>
      </c>
      <c r="B100" t="s">
        <v>152</v>
      </c>
      <c r="C100">
        <v>19.754604870000001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1.4098010949999999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5.6046908640000002</v>
      </c>
      <c r="T100" t="s">
        <v>30</v>
      </c>
      <c r="U100">
        <v>2.9081221689999999</v>
      </c>
      <c r="V100" t="s">
        <v>47</v>
      </c>
      <c r="W100" t="s">
        <v>48</v>
      </c>
      <c r="X100">
        <v>882.19886350000002</v>
      </c>
    </row>
    <row r="101" spans="1:24" x14ac:dyDescent="0.25">
      <c r="A101" t="s">
        <v>24</v>
      </c>
      <c r="B101" t="s">
        <v>153</v>
      </c>
      <c r="C101">
        <v>68.5178327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38.072898520000003</v>
      </c>
      <c r="T101" t="s">
        <v>46</v>
      </c>
      <c r="U101">
        <v>0.34602729100000001</v>
      </c>
      <c r="V101" t="s">
        <v>47</v>
      </c>
      <c r="W101" t="s">
        <v>32</v>
      </c>
      <c r="X101">
        <v>210.743009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Supply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Ademola Adedipe</dc:creator>
  <cp:lastModifiedBy>oladele ezekiel</cp:lastModifiedBy>
  <dcterms:created xsi:type="dcterms:W3CDTF">2025-01-16T09:50:20Z</dcterms:created>
  <dcterms:modified xsi:type="dcterms:W3CDTF">2025-10-18T13:57:41Z</dcterms:modified>
</cp:coreProperties>
</file>
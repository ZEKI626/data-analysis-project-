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EW USER\Documents\My Clients\ip\"/>
    </mc:Choice>
  </mc:AlternateContent>
  <xr:revisionPtr revIDLastSave="0" documentId="13_ncr:1_{4EB1A951-36EA-4604-9685-84206E36566A}" xr6:coauthVersionLast="47" xr6:coauthVersionMax="47" xr10:uidLastSave="{00000000-0000-0000-0000-000000000000}"/>
  <bookViews>
    <workbookView xWindow="-110" yWindow="-110" windowWidth="19420" windowHeight="10300" activeTab="2" xr2:uid="{B6468961-2500-4A7A-8A00-F9E3D5E5C222}"/>
  </bookViews>
  <sheets>
    <sheet name="Sheet3" sheetId="3" r:id="rId1"/>
    <sheet name="Sheet2" sheetId="2" r:id="rId2"/>
    <sheet name="Sheet4" sheetId="4" r:id="rId3"/>
    <sheet name="Sheet1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<sst xmlns="http://schemas.openxmlformats.org/spreadsheetml/2006/main" count="150" uniqueCount="79">
  <si>
    <t>State</t>
  </si>
  <si>
    <t>Uninsured Rate (2010)</t>
  </si>
  <si>
    <t>Uninsured Rate (2015)</t>
  </si>
  <si>
    <t>Uninsured Rate Change (2010-2015)</t>
  </si>
  <si>
    <t>Health Insurance Coverage Change (2010-2015)</t>
  </si>
  <si>
    <t>Employer Health Insurance Coverage (2015)</t>
  </si>
  <si>
    <t>Marketplace Health Insurance Coverage (2016)</t>
  </si>
  <si>
    <t>Health Insurance Coverage Change(2015-2016)</t>
  </si>
  <si>
    <t>% increase/Decrease</t>
  </si>
  <si>
    <t>Marketplace Tax Credits (2016)</t>
  </si>
  <si>
    <t>Average Monthly Tax Credit (2016)</t>
  </si>
  <si>
    <t>State Medicaid Expansion (2016)</t>
  </si>
  <si>
    <t>Medicaid Enrollment (2013)</t>
  </si>
  <si>
    <t>Medicaid Enrollment (2016)</t>
  </si>
  <si>
    <t>Medicaid Enrollment Change (2013-2016)</t>
  </si>
  <si>
    <t>Medicare Enrollment (2016)</t>
  </si>
  <si>
    <t xml:space="preserve">Alabama </t>
  </si>
  <si>
    <t xml:space="preserve">Alaska </t>
  </si>
  <si>
    <t xml:space="preserve">Arizona </t>
  </si>
  <si>
    <t xml:space="preserve">Arkansas </t>
  </si>
  <si>
    <t>California</t>
  </si>
  <si>
    <t>Colorado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</si>
  <si>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</si>
  <si>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</si>
  <si>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</si>
  <si>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</si>
  <si>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</si>
  <si>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</si>
  <si>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</si>
  <si>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</si>
  <si>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</si>
  <si>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</si>
  <si>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 xml:space="preserve">Kansas </t>
  </si>
  <si>
    <t>Kentucky</t>
  </si>
  <si>
    <t xml:space="preserve">Louisiana </t>
  </si>
  <si>
    <t xml:space="preserve">Maine </t>
  </si>
  <si>
    <t>Maryland</t>
  </si>
  <si>
    <t>Massachusetts</t>
  </si>
  <si>
    <t xml:space="preserve">Michigan </t>
  </si>
  <si>
    <t>Minnesota</t>
  </si>
  <si>
    <t xml:space="preserve">Mississippi </t>
  </si>
  <si>
    <t xml:space="preserve">Missouri </t>
  </si>
  <si>
    <t xml:space="preserve">Montana </t>
  </si>
  <si>
    <t xml:space="preserve">Nebraska </t>
  </si>
  <si>
    <t>Nevada</t>
  </si>
  <si>
    <t xml:space="preserve">New Hampshire </t>
  </si>
  <si>
    <t xml:space="preserve">New Jersey </t>
  </si>
  <si>
    <t>New Mexico</t>
  </si>
  <si>
    <t>New York</t>
  </si>
  <si>
    <t xml:space="preserve">North Carolina </t>
  </si>
  <si>
    <t xml:space="preserve">North Dakota </t>
  </si>
  <si>
    <t xml:space="preserve">Ohio </t>
  </si>
  <si>
    <t xml:space="preserve">Oklahoma </t>
  </si>
  <si>
    <t>Oregon</t>
  </si>
  <si>
    <t xml:space="preserve">Pennsylvania </t>
  </si>
  <si>
    <t>Rhode Island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</si>
  <si>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</si>
  <si>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</si>
  <si>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</si>
  <si>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</si>
  <si>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</si>
  <si>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>Vermont</t>
  </si>
  <si>
    <t xml:space="preserve">Virginia </t>
  </si>
  <si>
    <t>Washington</t>
  </si>
  <si>
    <t xml:space="preserve">West Virginia </t>
  </si>
  <si>
    <t xml:space="preserve">Wisconsin </t>
  </si>
  <si>
    <t>Wyoming</t>
  </si>
  <si>
    <t>United States</t>
  </si>
  <si>
    <t>Row Labels</t>
  </si>
  <si>
    <t>Grand Total</t>
  </si>
  <si>
    <t>Sum of Uninsured Rate Change (2010-2015)</t>
  </si>
  <si>
    <t>Sum of Marketplace Health Insurance Coverage (2016)</t>
  </si>
  <si>
    <t>FALSE</t>
  </si>
  <si>
    <t>TRUE</t>
  </si>
  <si>
    <t>(blank)</t>
  </si>
  <si>
    <t>Count of State Medicaid Expansion (2016)</t>
  </si>
  <si>
    <t>Sum of Health Insurance Coverage Change (2010-2015)</t>
  </si>
  <si>
    <t>Sum of Health Insurance Coverage Change(2015-2016)</t>
  </si>
  <si>
    <t>Sum of Average Monthly Tax Credit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</si>
</sst>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6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10" formatCode="&quot;$&quot;#,##0_);[Red]\(&quot;$&quot;#,##0\)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Uninsured Rate Change (2010-2015)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Massachusetts</c:v>
                </c:pt>
                <c:pt idx="2">
                  <c:v>Maine </c:v>
                </c:pt>
                <c:pt idx="3">
                  <c:v>North Dakota </c:v>
                </c:pt>
                <c:pt idx="4">
                  <c:v>South Dakota </c:v>
                </c:pt>
                <c:pt idx="5">
                  <c:v>Connecticut</c:v>
                </c:pt>
                <c:pt idx="6">
                  <c:v>Nebraska </c:v>
                </c:pt>
                <c:pt idx="7">
                  <c:v>Missouri </c:v>
                </c:pt>
                <c:pt idx="8">
                  <c:v>Wyoming</c:v>
                </c:pt>
                <c:pt idx="9">
                  <c:v>Wisconsin 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6.0999999999999999E-2</c:v>
                </c:pt>
                <c:pt idx="1">
                  <c:v>-1.6E-2</c:v>
                </c:pt>
                <c:pt idx="2">
                  <c:v>-1.7000000000000001E-2</c:v>
                </c:pt>
                <c:pt idx="3">
                  <c:v>-0.02</c:v>
                </c:pt>
                <c:pt idx="4">
                  <c:v>-2.1999999999999999E-2</c:v>
                </c:pt>
                <c:pt idx="5">
                  <c:v>-3.1E-2</c:v>
                </c:pt>
                <c:pt idx="6">
                  <c:v>-3.3000000000000002E-2</c:v>
                </c:pt>
                <c:pt idx="7">
                  <c:v>-3.4000000000000002E-2</c:v>
                </c:pt>
                <c:pt idx="8">
                  <c:v>-3.4000000000000002E-2</c:v>
                </c:pt>
                <c:pt idx="9">
                  <c:v>-3.6999999999999998E-2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8-494C-961A-AC35D419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69727"/>
        <c:axId val="200971391"/>
      </c:barChart>
      <c:catAx>
        <c:axId val="20096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71391"/>
        <c:crosses val="autoZero"/>
        <c:auto val="1"/>
        <c:lblAlgn val="ctr"/>
        <c:lblOffset val="100"/>
        <c:noMultiLvlLbl val="0"/>
      </c:catAx>
      <c:valAx>
        <c:axId val="2009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 of Marketplace Health Insurance Coverage (2016)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Sheet2!$A$19:$A$29</c:f>
              <c:strCache>
                <c:ptCount val="10"/>
                <c:pt idx="0">
                  <c:v>United States</c:v>
                </c:pt>
                <c:pt idx="1">
                  <c:v>Florida </c:v>
                </c:pt>
                <c:pt idx="2">
                  <c:v>California</c:v>
                </c:pt>
                <c:pt idx="3">
                  <c:v>Texas </c:v>
                </c:pt>
                <c:pt idx="4">
                  <c:v>North Carolina </c:v>
                </c:pt>
                <c:pt idx="5">
                  <c:v>Georgia </c:v>
                </c:pt>
                <c:pt idx="6">
                  <c:v>Pennsylvania </c:v>
                </c:pt>
                <c:pt idx="7">
                  <c:v>Virginia </c:v>
                </c:pt>
                <c:pt idx="8">
                  <c:v>Illinois </c:v>
                </c:pt>
                <c:pt idx="9">
                  <c:v>Michigan </c:v>
                </c:pt>
              </c:strCache>
            </c:strRef>
          </c:cat>
          <c:val>
            <c:numRef>
              <c:f>Sheet2!$B$19:$B$29</c:f>
              <c:numCache>
                <c:formatCode>General</c:formatCode>
                <c:ptCount val="10"/>
                <c:pt idx="0">
                  <c:v>11081330</c:v>
                </c:pt>
                <c:pt idx="1">
                  <c:v>1531714</c:v>
                </c:pt>
                <c:pt idx="2">
                  <c:v>1415428</c:v>
                </c:pt>
                <c:pt idx="3">
                  <c:v>1092650</c:v>
                </c:pt>
                <c:pt idx="4">
                  <c:v>545354</c:v>
                </c:pt>
                <c:pt idx="5">
                  <c:v>478016</c:v>
                </c:pt>
                <c:pt idx="6">
                  <c:v>412347</c:v>
                </c:pt>
                <c:pt idx="7">
                  <c:v>378838</c:v>
                </c:pt>
                <c:pt idx="8">
                  <c:v>335243</c:v>
                </c:pt>
                <c:pt idx="9">
                  <c:v>313123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1-4358-BC89-60CAF981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66495"/>
        <c:axId val="65854015"/>
      </c:barChart>
      <c:catAx>
        <c:axId val="658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4015"/>
        <c:crosses val="autoZero"/>
        <c:auto val="1"/>
        <c:lblAlgn val="ctr"/>
        <c:lblOffset val="100"/>
        <c:noMultiLvlLbl val="0"/>
      </c:catAx>
      <c:valAx>
        <c:axId val="6585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 Medicaid Expanssion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3B-48D8-8803-691DDD973E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B-48D8-8803-691DDD973E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AE-44AC-A70C-998452F4CC29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B-48D8-8803-691DDD973E07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3B-48D8-8803-691DDD973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Sheet2!$A$37:$A$40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(blank)</c:v>
                </c:pt>
              </c:strCache>
            </c:strRef>
          </c:cat>
          <c:val>
            <c:numRef>
              <c:f>Sheet2!$B$37:$B$40</c:f>
              <c:numCache>
                <c:formatCode>General</c:formatCode>
                <c:ptCount val="3"/>
                <c:pt idx="0">
                  <c:v>19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B-48D8-8803-691DDD97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Sum of Health Insurance Coverage Change (2010-2015)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Sheet2!$B$47:$B$57</c:f>
              <c:numCache>
                <c:formatCode>General</c:formatCode>
                <c:ptCount val="10"/>
                <c:pt idx="0">
                  <c:v>3826000</c:v>
                </c:pt>
                <c:pt idx="1">
                  <c:v>1597000</c:v>
                </c:pt>
                <c:pt idx="2">
                  <c:v>581000</c:v>
                </c:pt>
                <c:pt idx="3">
                  <c:v>850000</c:v>
                </c:pt>
                <c:pt idx="4">
                  <c:v>618000</c:v>
                </c:pt>
                <c:pt idx="5">
                  <c:v>939000</c:v>
                </c:pt>
                <c:pt idx="6">
                  <c:v>552000</c:v>
                </c:pt>
                <c:pt idx="7">
                  <c:v>664000</c:v>
                </c:pt>
                <c:pt idx="8">
                  <c:v>1781000</c:v>
                </c:pt>
                <c:pt idx="9">
                  <c:v>19304000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3-4EC3-865B-FE1846F93EB5}"/>
            </c:ext>
          </c:extLst>
        </c:ser>
        <c:ser>
          <c:idx val="1"/>
          <c:order val="1"/>
          <c:tx>
            <c:strRef>
              <c:f>Sheet2!$C$46</c:f>
              <c:strCache>
                <c:ptCount val="1"/>
                <c:pt idx="0">
                  <c:v>Sum of Health Insurance Coverage Change(2015-2016)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Sheet2!$C$47:$C$57</c:f>
              <c:numCache>
                <c:formatCode>General</c:formatCode>
                <c:ptCount val="10"/>
                <c:pt idx="0">
                  <c:v>20967428</c:v>
                </c:pt>
                <c:pt idx="1">
                  <c:v>10378714</c:v>
                </c:pt>
                <c:pt idx="2">
                  <c:v>5718016</c:v>
                </c:pt>
                <c:pt idx="3">
                  <c:v>7694243</c:v>
                </c:pt>
                <c:pt idx="4">
                  <c:v>6189123</c:v>
                </c:pt>
                <c:pt idx="5">
                  <c:v>11119014</c:v>
                </c:pt>
                <c:pt idx="6">
                  <c:v>5479354</c:v>
                </c:pt>
                <c:pt idx="7">
                  <c:v>7043046</c:v>
                </c:pt>
                <c:pt idx="8">
                  <c:v>14801650</c:v>
                </c:pt>
                <c:pt idx="9">
                  <c:v>183373330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3-4EC3-865B-FE1846F93EB5}"/>
            </c:ext>
          </c:extLst>
        </c:ser>
        <c:ser>
          <c:idx val="2"/>
          <c:order val="2"/>
          <c:tx>
            <c:strRef>
              <c:f>Sheet2!$D$46</c:f>
              <c:strCache>
                <c:ptCount val="1"/>
                <c:pt idx="0">
                  <c:v>Sum of Average Monthly Tax Credit (2016)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Sheet2!$D$47:$D$57</c:f>
              <c:numCache>
                <c:formatCode>General</c:formatCode>
                <c:ptCount val="10"/>
                <c:pt idx="0">
                  <c:v>309</c:v>
                </c:pt>
                <c:pt idx="1">
                  <c:v>305</c:v>
                </c:pt>
                <c:pt idx="2">
                  <c:v>291</c:v>
                </c:pt>
                <c:pt idx="3">
                  <c:v>237</c:v>
                </c:pt>
                <c:pt idx="4">
                  <c:v>233</c:v>
                </c:pt>
                <c:pt idx="5">
                  <c:v>178</c:v>
                </c:pt>
                <c:pt idx="6">
                  <c:v>401</c:v>
                </c:pt>
                <c:pt idx="7">
                  <c:v>250</c:v>
                </c:pt>
                <c:pt idx="8">
                  <c:v>271</c:v>
                </c:pt>
                <c:pt idx="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3-4EC3-865B-FE1846F93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709055"/>
        <c:axId val="331715295"/>
      </c:barChart>
      <c:catAx>
        <c:axId val="33170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15295"/>
        <c:crosses val="autoZero"/>
        <c:auto val="1"/>
        <c:lblAlgn val="ctr"/>
        <c:lblOffset val="100"/>
        <c:noMultiLvlLbl val="0"/>
      </c:catAx>
      <c:valAx>
        <c:axId val="3317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0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Uninsured Rate Change (2010-2015)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Massachusetts</c:v>
                </c:pt>
                <c:pt idx="2">
                  <c:v>Maine </c:v>
                </c:pt>
                <c:pt idx="3">
                  <c:v>North Dakota </c:v>
                </c:pt>
                <c:pt idx="4">
                  <c:v>South Dakota </c:v>
                </c:pt>
                <c:pt idx="5">
                  <c:v>Connecticut</c:v>
                </c:pt>
                <c:pt idx="6">
                  <c:v>Nebraska </c:v>
                </c:pt>
                <c:pt idx="7">
                  <c:v>Missouri </c:v>
                </c:pt>
                <c:pt idx="8">
                  <c:v>Wyoming</c:v>
                </c:pt>
                <c:pt idx="9">
                  <c:v>Wisconsin 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6.0999999999999999E-2</c:v>
                </c:pt>
                <c:pt idx="1">
                  <c:v>-1.6E-2</c:v>
                </c:pt>
                <c:pt idx="2">
                  <c:v>-1.7000000000000001E-2</c:v>
                </c:pt>
                <c:pt idx="3">
                  <c:v>-0.02</c:v>
                </c:pt>
                <c:pt idx="4">
                  <c:v>-2.1999999999999999E-2</c:v>
                </c:pt>
                <c:pt idx="5">
                  <c:v>-3.1E-2</c:v>
                </c:pt>
                <c:pt idx="6">
                  <c:v>-3.3000000000000002E-2</c:v>
                </c:pt>
                <c:pt idx="7">
                  <c:v>-3.4000000000000002E-2</c:v>
                </c:pt>
                <c:pt idx="8">
                  <c:v>-3.4000000000000002E-2</c:v>
                </c:pt>
                <c:pt idx="9">
                  <c:v>-3.6999999999999998E-2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0-460B-A4B4-6B4727AC5A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969727"/>
        <c:axId val="200971391"/>
      </c:barChart>
      <c:catAx>
        <c:axId val="20096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71391"/>
        <c:crosses val="autoZero"/>
        <c:auto val="1"/>
        <c:lblAlgn val="ctr"/>
        <c:lblOffset val="100"/>
        <c:noMultiLvlLbl val="0"/>
      </c:catAx>
      <c:valAx>
        <c:axId val="200971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96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Marketplace Health Insurance Coverage (2016)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Sheet2!$A$19:$A$29</c:f>
              <c:strCache>
                <c:ptCount val="10"/>
                <c:pt idx="0">
                  <c:v>United States</c:v>
                </c:pt>
                <c:pt idx="1">
                  <c:v>Florida </c:v>
                </c:pt>
                <c:pt idx="2">
                  <c:v>California</c:v>
                </c:pt>
                <c:pt idx="3">
                  <c:v>Texas </c:v>
                </c:pt>
                <c:pt idx="4">
                  <c:v>North Carolina </c:v>
                </c:pt>
                <c:pt idx="5">
                  <c:v>Georgia </c:v>
                </c:pt>
                <c:pt idx="6">
                  <c:v>Pennsylvania </c:v>
                </c:pt>
                <c:pt idx="7">
                  <c:v>Virginia </c:v>
                </c:pt>
                <c:pt idx="8">
                  <c:v>Illinois </c:v>
                </c:pt>
                <c:pt idx="9">
                  <c:v>Michigan </c:v>
                </c:pt>
              </c:strCache>
            </c:strRef>
          </c:cat>
          <c:val>
            <c:numRef>
              <c:f>Sheet2!$B$19:$B$29</c:f>
              <c:numCache>
                <c:formatCode>General</c:formatCode>
                <c:ptCount val="10"/>
                <c:pt idx="0">
                  <c:v>11081330</c:v>
                </c:pt>
                <c:pt idx="1">
                  <c:v>1531714</c:v>
                </c:pt>
                <c:pt idx="2">
                  <c:v>1415428</c:v>
                </c:pt>
                <c:pt idx="3">
                  <c:v>1092650</c:v>
                </c:pt>
                <c:pt idx="4">
                  <c:v>545354</c:v>
                </c:pt>
                <c:pt idx="5">
                  <c:v>478016</c:v>
                </c:pt>
                <c:pt idx="6">
                  <c:v>412347</c:v>
                </c:pt>
                <c:pt idx="7">
                  <c:v>378838</c:v>
                </c:pt>
                <c:pt idx="8">
                  <c:v>335243</c:v>
                </c:pt>
                <c:pt idx="9">
                  <c:v>313123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C-4B1A-AA7C-53FB529618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866495"/>
        <c:axId val="65854015"/>
      </c:barChart>
      <c:catAx>
        <c:axId val="658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4015"/>
        <c:crosses val="autoZero"/>
        <c:auto val="1"/>
        <c:lblAlgn val="ctr"/>
        <c:lblOffset val="100"/>
        <c:noMultiLvlLbl val="0"/>
      </c:catAx>
      <c:valAx>
        <c:axId val="6585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86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Medicaid Expanssion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8F-4CEF-8CB1-EEC1DB3B44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8F-4CEF-8CB1-EEC1DB3B44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8F-4CEF-8CB1-EEC1DB3B440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Sheet2!$A$37:$A$40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(blank)</c:v>
                </c:pt>
              </c:strCache>
            </c:strRef>
          </c:cat>
          <c:val>
            <c:numRef>
              <c:f>Sheet2!$B$37:$B$40</c:f>
              <c:numCache>
                <c:formatCode>General</c:formatCode>
                <c:ptCount val="3"/>
                <c:pt idx="0">
                  <c:v>19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8F-4CEF-8CB1-EEC1DB3B44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[Health.xlsx]Sheet2!PivotTable4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Sum of Health Insurance Coverage Change (2010-2015)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Sheet2!$B$47:$B$57</c:f>
              <c:numCache>
                <c:formatCode>General</c:formatCode>
                <c:ptCount val="10"/>
                <c:pt idx="0">
                  <c:v>3826000</c:v>
                </c:pt>
                <c:pt idx="1">
                  <c:v>1597000</c:v>
                </c:pt>
                <c:pt idx="2">
                  <c:v>581000</c:v>
                </c:pt>
                <c:pt idx="3">
                  <c:v>850000</c:v>
                </c:pt>
                <c:pt idx="4">
                  <c:v>618000</c:v>
                </c:pt>
                <c:pt idx="5">
                  <c:v>939000</c:v>
                </c:pt>
                <c:pt idx="6">
                  <c:v>552000</c:v>
                </c:pt>
                <c:pt idx="7">
                  <c:v>664000</c:v>
                </c:pt>
                <c:pt idx="8">
                  <c:v>1781000</c:v>
                </c:pt>
                <c:pt idx="9">
                  <c:v>19304000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847-BCF1-8AFAC48CC90E}"/>
            </c:ext>
          </c:extLst>
        </c:ser>
        <c:ser>
          <c:idx val="1"/>
          <c:order val="1"/>
          <c:tx>
            <c:strRef>
              <c:f>Sheet2!$C$46</c:f>
              <c:strCache>
                <c:ptCount val="1"/>
                <c:pt idx="0">
                  <c:v>Sum of Health Insurance Coverage Change(2015-2016)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Sheet2!$C$47:$C$57</c:f>
              <c:numCache>
                <c:formatCode>General</c:formatCode>
                <c:ptCount val="10"/>
                <c:pt idx="0">
                  <c:v>20967428</c:v>
                </c:pt>
                <c:pt idx="1">
                  <c:v>10378714</c:v>
                </c:pt>
                <c:pt idx="2">
                  <c:v>5718016</c:v>
                </c:pt>
                <c:pt idx="3">
                  <c:v>7694243</c:v>
                </c:pt>
                <c:pt idx="4">
                  <c:v>6189123</c:v>
                </c:pt>
                <c:pt idx="5">
                  <c:v>11119014</c:v>
                </c:pt>
                <c:pt idx="6">
                  <c:v>5479354</c:v>
                </c:pt>
                <c:pt idx="7">
                  <c:v>7043046</c:v>
                </c:pt>
                <c:pt idx="8">
                  <c:v>14801650</c:v>
                </c:pt>
                <c:pt idx="9">
                  <c:v>183373330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847-BCF1-8AFAC48CC90E}"/>
            </c:ext>
          </c:extLst>
        </c:ser>
        <c:ser>
          <c:idx val="2"/>
          <c:order val="2"/>
          <c:tx>
            <c:strRef>
              <c:f>Sheet2!$D$46</c:f>
              <c:strCache>
                <c:ptCount val="1"/>
                <c:pt idx="0">
                  <c:v>Sum of Average Monthly Tax Credit (2016)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Sheet2!$A$47:$A$57</c:f>
              <c:strCache>
                <c:ptCount val="10"/>
                <c:pt idx="0">
                  <c:v>California</c:v>
                </c:pt>
                <c:pt idx="1">
                  <c:v>Florida </c:v>
                </c:pt>
                <c:pt idx="2">
                  <c:v>Georgia </c:v>
                </c:pt>
                <c:pt idx="3">
                  <c:v>Illinois </c:v>
                </c:pt>
                <c:pt idx="4">
                  <c:v>Michigan </c:v>
                </c:pt>
                <c:pt idx="5">
                  <c:v>New York</c:v>
                </c:pt>
                <c:pt idx="6">
                  <c:v>North Carolina </c:v>
                </c:pt>
                <c:pt idx="7">
                  <c:v>Ohio </c:v>
                </c:pt>
                <c:pt idx="8">
                  <c:v>Texas </c:v>
                </c:pt>
                <c:pt idx="9">
                  <c:v>United States</c:v>
                </c:pt>
              </c:strCache>
            </c:strRef>
          </c:cat>
          <c:val>
            <c:numRef>
              <c:f>Sheet2!$D$47:$D$57</c:f>
              <c:numCache>
                <c:formatCode>General</c:formatCode>
                <c:ptCount val="10"/>
                <c:pt idx="0">
                  <c:v>309</c:v>
                </c:pt>
                <c:pt idx="1">
                  <c:v>305</c:v>
                </c:pt>
                <c:pt idx="2">
                  <c:v>291</c:v>
                </c:pt>
                <c:pt idx="3">
                  <c:v>237</c:v>
                </c:pt>
                <c:pt idx="4">
                  <c:v>233</c:v>
                </c:pt>
                <c:pt idx="5">
                  <c:v>178</c:v>
                </c:pt>
                <c:pt idx="6">
                  <c:v>401</c:v>
                </c:pt>
                <c:pt idx="7">
                  <c:v>250</c:v>
                </c:pt>
                <c:pt idx="8">
                  <c:v>271</c:v>
                </c:pt>
                <c:pt idx="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8C-4847-BCF1-8AFAC48CC9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1709055"/>
        <c:axId val="331715295"/>
      </c:barChart>
      <c:catAx>
        <c:axId val="33170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240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15295"/>
        <c:crosses val="autoZero"/>
        <c:auto val="1"/>
        <c:lblAlgn val="ctr"/>
        <c:lblOffset val="100"/>
        <c:noMultiLvlLbl val="0"/>
      </c:catAx>
      <c:valAx>
        <c:axId val="3317152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170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</xdr:row>
      <xdr:rowOff>31750</xdr:rowOff>
    </xdr:from>
    <xdr:to>
      <xdr:col>8</xdr:col>
      <xdr:colOff>419100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E8CF5-AA76-4BE5-BED8-E62D3AF15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</xdr:colOff>
      <xdr:row>17</xdr:row>
      <xdr:rowOff>0</xdr:rowOff>
    </xdr:from>
    <xdr:to>
      <xdr:col>8</xdr:col>
      <xdr:colOff>209550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D5267-FD8E-44F4-8742-0D2A6DC25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215900</xdr:colOff>
      <xdr:row>31</xdr:row>
      <xdr:rowOff>165100</xdr:rowOff>
    </xdr:from>
    <xdr:to>
      <xdr:col>3</xdr:col>
      <xdr:colOff>1022350</xdr:colOff>
      <xdr:row>42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9FD4B-1829-49A2-B778-2037F9943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1574800</xdr:colOff>
      <xdr:row>56</xdr:row>
      <xdr:rowOff>82550</xdr:rowOff>
    </xdr:from>
    <xdr:to>
      <xdr:col>2</xdr:col>
      <xdr:colOff>2921000</xdr:colOff>
      <xdr:row>68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7BBDD8-7429-4741-8841-50208A271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80818</xdr:colOff>
      <xdr:row>0</xdr:row>
      <xdr:rowOff>103909</xdr:rowOff>
    </xdr:from>
    <xdr:to>
      <xdr:col>16</xdr:col>
      <xdr:colOff>496455</xdr:colOff>
      <xdr:row>5</xdr:row>
      <xdr:rowOff>46182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E7B46D-19CA-498F-BA3C-DC1CA9027FD0}"/>
            </a:ext>
          </a:extLst>
        </xdr:cNvPr>
        <xdr:cNvSpPr txBox="1"/>
      </xdr:nvSpPr>
      <xdr:spPr>
        <a:xfrm>
          <a:off x="80818" y="103909"/>
          <a:ext cx="10206182" cy="865909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tx1"/>
              </a:solidFill>
            </a:rPr>
            <a:t>Health Insurance</a:t>
          </a:r>
        </a:p>
      </xdr:txBody>
    </xdr:sp>
    <xdr:clientData/>
  </xdr:twoCellAnchor>
  <xdr:twoCellAnchor>
    <xdr:from>
      <xdr:col>0</xdr:col>
      <xdr:colOff>124964</xdr:colOff>
      <xdr:row>5</xdr:row>
      <xdr:rowOff>161636</xdr:rowOff>
    </xdr:from>
    <xdr:to>
      <xdr:col>8</xdr:col>
      <xdr:colOff>11545</xdr:colOff>
      <xdr:row>18</xdr:row>
      <xdr:rowOff>102957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F2EFD7-3541-46A2-9E58-69087D50D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92362</xdr:colOff>
      <xdr:row>5</xdr:row>
      <xdr:rowOff>138546</xdr:rowOff>
    </xdr:from>
    <xdr:to>
      <xdr:col>16</xdr:col>
      <xdr:colOff>496453</xdr:colOff>
      <xdr:row>18</xdr:row>
      <xdr:rowOff>57727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1B9D7F-C241-4B27-9680-5F16B39D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99562</xdr:colOff>
      <xdr:row>18</xdr:row>
      <xdr:rowOff>159835</xdr:rowOff>
    </xdr:from>
    <xdr:to>
      <xdr:col>7</xdr:col>
      <xdr:colOff>588817</xdr:colOff>
      <xdr:row>31</xdr:row>
      <xdr:rowOff>161637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AE3F57-E1BF-4EF7-AAEF-6B5DC5DD1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92363</xdr:colOff>
      <xdr:row>18</xdr:row>
      <xdr:rowOff>162860</xdr:rowOff>
    </xdr:from>
    <xdr:to>
      <xdr:col>16</xdr:col>
      <xdr:colOff>496455</xdr:colOff>
      <xdr:row>31</xdr:row>
      <xdr:rowOff>161638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20127A-DDEC-4714-B7D7-A24CE6F22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5673.45504050926" createdVersion="7" refreshedVersion="7" minRefreshableVersion="3" recordCount="52" xr:uid="{B80E0F30-0A4E-4D3C-AD9F-CA4B19130C6D}">
  <cacheSource type="worksheet">
    <worksheetSource name="Table1"/>
  </cacheSource>
  <cacheFields count="16">
    <cacheField name="State" numFmtId="0">
      <sharedItems count="52">
        <s v="Alabama "/>
        <s v="Alaska "/>
        <s v="Arizona "/>
        <s v="Arkansas "/>
        <s v="California"/>
        <s v="Colorado"/>
        <s v="Connecticut"/>
        <s v="Delaware "/>
        <s v="District of Columbia"/>
        <s v="Florida "/>
        <s v="Georgia "/>
        <s v="Hawaii"/>
        <s v="Idaho"/>
        <s v="Illinois "/>
        <s v="Indiana "/>
        <s v="Iowa "/>
        <s v="Kansas "/>
        <s v="Kentucky"/>
        <s v="Louisiana "/>
        <s v="Maine "/>
        <s v="Maryland"/>
        <s v="Massachusetts"/>
        <s v="Michigan "/>
        <s v="Minnesota"/>
        <s v="Mississippi "/>
        <s v="Missouri "/>
        <s v="Montana "/>
        <s v="Nebraska "/>
        <s v="Nevada"/>
        <s v="New Hampshire "/>
        <s v="New Jersey "/>
        <s v="New Mexico"/>
        <s v="New York"/>
        <s v="North Carolina "/>
        <s v="North Dakota "/>
        <s v="Ohio "/>
        <s v="Oklahoma "/>
        <s v="Oregon"/>
        <s v="Pennsylvania "/>
        <s v="Rhode Island"/>
        <s v="South Carolina "/>
        <s v="South Dakota "/>
        <s v="Tennessee "/>
        <s v="Texas "/>
        <s v="Utah "/>
        <s v="Vermont"/>
        <s v="Virginia "/>
        <s v="Washington"/>
        <s v="West Virginia "/>
        <s v="Wisconsin "/>
        <s v="Wyoming"/>
        <s v="United States"/>
      </sharedItems>
    </cacheField>
    <cacheField name="Uninsured Rate (2010)" numFmtId="0">
      <sharedItems containsSemiMixedTypes="0" containsString="0" containsNumber="1" minValue="4.3999999999999997E-2" maxValue="0.23699999999999999"/>
    </cacheField>
    <cacheField name="Uninsured Rate (2015)" numFmtId="0">
      <sharedItems containsSemiMixedTypes="0" containsString="0" containsNumber="1" minValue="2.8000000000000001E-2" maxValue="0.17100000000000001"/>
    </cacheField>
    <cacheField name="Uninsured Rate Change (2010-2015)" numFmtId="0">
      <sharedItems containsSemiMixedTypes="0" containsString="0" containsNumber="1" minValue="-0.10299999999999999" maxValue="6.0999999999999999E-2"/>
    </cacheField>
    <cacheField name="Health Insurance Coverage Change (2010-2015)" numFmtId="0">
      <sharedItems containsSemiMixedTypes="0" containsString="0" containsNumber="1" containsInteger="1" minValue="15000" maxValue="19304000"/>
    </cacheField>
    <cacheField name="Employer Health Insurance Coverage (2015)" numFmtId="0">
      <sharedItems containsSemiMixedTypes="0" containsString="0" containsNumber="1" containsInteger="1" minValue="335000" maxValue="172292000"/>
    </cacheField>
    <cacheField name="Marketplace Health Insurance Coverage (2016)" numFmtId="0">
      <sharedItems containsSemiMixedTypes="0" containsString="0" containsNumber="1" containsInteger="1" minValue="13313" maxValue="11081330"/>
    </cacheField>
    <cacheField name="Health Insurance Coverage Change(2015-2016)" numFmtId="0">
      <sharedItems containsSemiMixedTypes="0" containsString="0" containsNumber="1" containsInteger="1" minValue="357076" maxValue="183373330"/>
    </cacheField>
    <cacheField name="% increase/Decrease" numFmtId="0">
      <sharedItems containsSemiMixedTypes="0" containsString="0" containsNumber="1" minValue="523.31292129999997" maxValue="4148.7112150000003"/>
    </cacheField>
    <cacheField name="Marketplace Tax Credits (2016)" numFmtId="0">
      <sharedItems containsSemiMixedTypes="0" containsString="0" containsNumber="1" containsInteger="1" minValue="1224" maxValue="9389609"/>
    </cacheField>
    <cacheField name="Average Monthly Tax Credit (2016)" numFmtId="6">
      <sharedItems containsSemiMixedTypes="0" containsString="0" containsNumber="1" containsInteger="1" minValue="178" maxValue="750"/>
    </cacheField>
    <cacheField name="State Medicaid Expansion (2016)" numFmtId="0">
      <sharedItems containsBlank="1" count="3">
        <b v="0"/>
        <b v="1"/>
        <m/>
      </sharedItems>
    </cacheField>
    <cacheField name="Medicaid Enrollment (2013)" numFmtId="0">
      <sharedItems containsString="0" containsBlank="1" containsNumber="1" containsInteger="1" minValue="67518" maxValue="56392477"/>
    </cacheField>
    <cacheField name="Medicaid Enrollment (2016)" numFmtId="0">
      <sharedItems containsSemiMixedTypes="0" containsString="0" containsNumber="1" containsInteger="1" minValue="63583" maxValue="73532931"/>
    </cacheField>
    <cacheField name="Medicaid Enrollment Change (2013-2016)" numFmtId="0">
      <sharedItems containsString="0" containsBlank="1" containsNumber="1" containsInteger="1" minValue="-3935" maxValue="16106157"/>
    </cacheField>
    <cacheField name="Medicare Enrollment (2016)" numFmtId="0">
      <sharedItems containsSemiMixedTypes="0" containsString="0" containsNumber="1" containsInteger="1" minValue="88966" maxValue="57149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0.14599999999999999"/>
    <n v="0.10100000000000001"/>
    <n v="-4.4999999999999998E-2"/>
    <n v="215000"/>
    <n v="2545000"/>
    <n v="165534"/>
    <n v="2710534"/>
    <n v="1260.7134880000001"/>
    <n v="152206"/>
    <n v="310"/>
    <x v="0"/>
    <n v="799176"/>
    <n v="910775"/>
    <n v="111599"/>
    <n v="989855"/>
  </r>
  <r>
    <x v="1"/>
    <n v="0.19900000000000001"/>
    <n v="0.14899999999999999"/>
    <n v="-0.05"/>
    <n v="36000"/>
    <n v="390000"/>
    <n v="17995"/>
    <n v="407995"/>
    <n v="1133.319444"/>
    <n v="16205"/>
    <n v="750"/>
    <x v="1"/>
    <n v="122334"/>
    <n v="166625"/>
    <n v="44291"/>
    <n v="88966"/>
  </r>
  <r>
    <x v="2"/>
    <n v="0.16900000000000001"/>
    <n v="0.108"/>
    <n v="-6.0999999999999999E-2"/>
    <n v="410000"/>
    <n v="3288000"/>
    <n v="179445"/>
    <n v="3467445"/>
    <n v="845.71829270000001"/>
    <n v="124346"/>
    <n v="230"/>
    <x v="1"/>
    <n v="1201770"/>
    <n v="1716198"/>
    <n v="514428"/>
    <n v="1175624"/>
  </r>
  <r>
    <x v="3"/>
    <n v="0.17499999999999999"/>
    <n v="9.5000000000000001E-2"/>
    <n v="-0.08"/>
    <n v="234000"/>
    <n v="1365000"/>
    <n v="63357"/>
    <n v="1428357"/>
    <n v="610.40897440000003"/>
    <n v="56843"/>
    <n v="306"/>
    <x v="1"/>
    <n v="556851"/>
    <n v="920194"/>
    <n v="363343"/>
    <n v="606146"/>
  </r>
  <r>
    <x v="4"/>
    <n v="0.185"/>
    <n v="8.5999999999999993E-2"/>
    <n v="-9.9000000000000005E-2"/>
    <n v="3826000"/>
    <n v="19552000"/>
    <n v="1415428"/>
    <n v="20967428"/>
    <n v="548.02477780000004"/>
    <n v="1239893"/>
    <n v="309"/>
    <x v="1"/>
    <n v="7755381"/>
    <n v="11843081"/>
    <n v="4087700"/>
    <n v="5829777"/>
  </r>
  <r>
    <x v="5"/>
    <n v="0.159"/>
    <n v="8.1000000000000003E-2"/>
    <n v="-7.8E-2"/>
    <n v="419000"/>
    <n v="2949000"/>
    <n v="108311"/>
    <n v="3057311"/>
    <n v="729.66849639999998"/>
    <n v="67062"/>
    <n v="318"/>
    <x v="1"/>
    <n v="783420"/>
    <n v="1375264"/>
    <n v="591844"/>
    <n v="820234"/>
  </r>
  <r>
    <x v="6"/>
    <n v="9.0999999999999998E-2"/>
    <n v="0.06"/>
    <n v="-3.1E-2"/>
    <n v="110000"/>
    <n v="2148000"/>
    <n v="102917"/>
    <n v="2250917"/>
    <n v="2046.288182"/>
    <n v="80759"/>
    <n v="357"/>
    <x v="1"/>
    <m/>
    <n v="761137"/>
    <m/>
    <n v="644136"/>
  </r>
  <r>
    <x v="7"/>
    <n v="9.7000000000000003E-2"/>
    <n v="5.8999999999999997E-2"/>
    <n v="-3.7999999999999999E-2"/>
    <n v="35000"/>
    <n v="564000"/>
    <n v="25379"/>
    <n v="589379"/>
    <n v="1683.94"/>
    <n v="21467"/>
    <n v="330"/>
    <x v="1"/>
    <n v="223324"/>
    <n v="236702"/>
    <n v="13378"/>
    <n v="186835"/>
  </r>
  <r>
    <x v="8"/>
    <n v="7.5999999999999998E-2"/>
    <n v="3.7999999999999999E-2"/>
    <n v="-3.7999999999999999E-2"/>
    <n v="25000"/>
    <n v="388000"/>
    <n v="17666"/>
    <n v="405666"/>
    <n v="1622.664"/>
    <n v="1224"/>
    <n v="183"/>
    <x v="1"/>
    <n v="235786"/>
    <n v="255491"/>
    <n v="19705"/>
    <n v="90492"/>
  </r>
  <r>
    <x v="9"/>
    <n v="0.21299999999999999"/>
    <n v="0.13300000000000001"/>
    <n v="-0.08"/>
    <n v="1597000"/>
    <n v="8847000"/>
    <n v="1531714"/>
    <n v="10378714"/>
    <n v="649.88816529999997"/>
    <n v="1428712"/>
    <n v="305"/>
    <x v="0"/>
    <n v="3104996"/>
    <n v="3644673"/>
    <n v="539677"/>
    <n v="4149593"/>
  </r>
  <r>
    <x v="10"/>
    <n v="0.19700000000000001"/>
    <n v="0.13900000000000001"/>
    <n v="-5.8000000000000003E-2"/>
    <n v="581000"/>
    <n v="5240000"/>
    <n v="478016"/>
    <n v="5718016"/>
    <n v="984.16798619999997"/>
    <n v="427353"/>
    <n v="291"/>
    <x v="0"/>
    <n v="1535090"/>
    <n v="1782301"/>
    <n v="247211"/>
    <n v="1574058"/>
  </r>
  <r>
    <x v="11"/>
    <n v="7.9000000000000001E-2"/>
    <n v="0.04"/>
    <n v="-3.9E-2"/>
    <n v="54000"/>
    <n v="867000"/>
    <n v="13313"/>
    <n v="880313"/>
    <n v="1630.209259"/>
    <n v="10958"/>
    <n v="270"/>
    <x v="1"/>
    <n v="288357"/>
    <n v="341200"/>
    <n v="52843"/>
    <n v="252514"/>
  </r>
  <r>
    <x v="12"/>
    <n v="0.17699999999999999"/>
    <n v="0.11"/>
    <n v="-6.7000000000000004E-2"/>
    <n v="109000"/>
    <n v="836000"/>
    <n v="94270"/>
    <n v="930270"/>
    <n v="853.4587156"/>
    <n v="82802"/>
    <n v="265"/>
    <x v="0"/>
    <n v="238150"/>
    <n v="293905"/>
    <n v="55755"/>
    <n v="294284"/>
  </r>
  <r>
    <x v="13"/>
    <n v="0.13800000000000001"/>
    <n v="7.0999999999999994E-2"/>
    <n v="-6.7000000000000004E-2"/>
    <n v="850000"/>
    <n v="7359000"/>
    <n v="335243"/>
    <n v="7694243"/>
    <n v="905.20505879999996"/>
    <n v="259701"/>
    <n v="237"/>
    <x v="1"/>
    <n v="2626943"/>
    <n v="3117939"/>
    <n v="490996"/>
    <n v="2118300"/>
  </r>
  <r>
    <x v="14"/>
    <n v="0.14799999999999999"/>
    <n v="9.6000000000000002E-2"/>
    <n v="-5.1999999999999998E-2"/>
    <n v="339000"/>
    <n v="3825000"/>
    <n v="168884"/>
    <n v="3993884"/>
    <n v="1178.1368729999999"/>
    <n v="139437"/>
    <n v="259"/>
    <x v="1"/>
    <n v="1120674"/>
    <n v="1489805"/>
    <n v="369131"/>
    <n v="1181014"/>
  </r>
  <r>
    <x v="15"/>
    <n v="9.2999999999999999E-2"/>
    <n v="0.05"/>
    <n v="-4.2999999999999997E-2"/>
    <n v="132000"/>
    <n v="1862000"/>
    <n v="48949"/>
    <n v="1910949"/>
    <n v="1447.6886360000001"/>
    <n v="42595"/>
    <n v="307"/>
    <x v="1"/>
    <n v="493515"/>
    <n v="619055"/>
    <n v="125540"/>
    <n v="587780"/>
  </r>
  <r>
    <x v="16"/>
    <n v="0.13900000000000001"/>
    <n v="9.0999999999999998E-2"/>
    <n v="-4.8000000000000001E-2"/>
    <n v="137000"/>
    <n v="1659000"/>
    <n v="89566"/>
    <n v="1748566"/>
    <n v="1276.3255469999999"/>
    <n v="75815"/>
    <n v="247"/>
    <x v="0"/>
    <n v="378160"/>
    <n v="421638"/>
    <n v="43478"/>
    <n v="499753"/>
  </r>
  <r>
    <x v="17"/>
    <n v="0.153"/>
    <n v="0.06"/>
    <n v="-9.2999999999999999E-2"/>
    <n v="404000"/>
    <n v="2316000"/>
    <n v="74640"/>
    <n v="2390640"/>
    <n v="591.7425743"/>
    <n v="56488"/>
    <n v="258"/>
    <x v="1"/>
    <n v="606805"/>
    <n v="1220788"/>
    <n v="613983"/>
    <n v="881938"/>
  </r>
  <r>
    <x v="18"/>
    <n v="0.17799999999999999"/>
    <n v="0.11899999999999999"/>
    <n v="-5.8999999999999997E-2"/>
    <n v="269000"/>
    <n v="2295000"/>
    <n v="184403"/>
    <n v="2479403"/>
    <n v="921.71115239999995"/>
    <n v="170806"/>
    <n v="362"/>
    <x v="1"/>
    <n v="1019787"/>
    <n v="1328708"/>
    <n v="308921"/>
    <n v="817272"/>
  </r>
  <r>
    <x v="19"/>
    <n v="0.10100000000000001"/>
    <n v="8.4000000000000005E-2"/>
    <n v="-1.7000000000000001E-2"/>
    <n v="22000"/>
    <n v="702000"/>
    <n v="75240"/>
    <n v="777240"/>
    <n v="3532.909091"/>
    <n v="63896"/>
    <n v="342"/>
    <x v="0"/>
    <m/>
    <n v="273160"/>
    <m/>
    <n v="315160"/>
  </r>
  <r>
    <x v="20"/>
    <n v="0.113"/>
    <n v="6.6000000000000003E-2"/>
    <n v="-4.7E-2"/>
    <n v="278000"/>
    <n v="3700000"/>
    <n v="135208"/>
    <n v="3835208"/>
    <n v="1379.5712229999999"/>
    <n v="100844"/>
    <n v="243"/>
    <x v="1"/>
    <n v="856297"/>
    <n v="1252304"/>
    <n v="396007"/>
    <n v="960848"/>
  </r>
  <r>
    <x v="21"/>
    <n v="4.3999999999999997E-2"/>
    <n v="2.8000000000000001E-2"/>
    <n v="-1.6E-2"/>
    <n v="107000"/>
    <n v="4232000"/>
    <n v="207121"/>
    <n v="4439121"/>
    <n v="4148.7112150000003"/>
    <n v="157751"/>
    <n v="190"/>
    <x v="1"/>
    <n v="1296359"/>
    <n v="1684328"/>
    <n v="387969"/>
    <n v="1252277"/>
  </r>
  <r>
    <x v="22"/>
    <n v="0.124"/>
    <n v="6.0999999999999999E-2"/>
    <n v="-6.3E-2"/>
    <n v="618000"/>
    <n v="5876000"/>
    <n v="313123"/>
    <n v="6189123"/>
    <n v="1001.476214"/>
    <n v="275080"/>
    <n v="233"/>
    <x v="1"/>
    <n v="1912009"/>
    <n v="2300958"/>
    <n v="388949"/>
    <n v="1947787"/>
  </r>
  <r>
    <x v="23"/>
    <n v="9.0999999999999998E-2"/>
    <n v="4.4999999999999998E-2"/>
    <n v="-4.5999999999999999E-2"/>
    <n v="250000"/>
    <n v="3319000"/>
    <n v="74060"/>
    <n v="3393060"/>
    <n v="1357.2239999999999"/>
    <n v="47266"/>
    <n v="203"/>
    <x v="1"/>
    <n v="873040"/>
    <n v="1051509"/>
    <n v="178469"/>
    <n v="944222"/>
  </r>
  <r>
    <x v="24"/>
    <n v="0.182"/>
    <n v="0.127"/>
    <n v="-5.5E-2"/>
    <n v="161000"/>
    <n v="1326000"/>
    <n v="77747"/>
    <n v="1403747"/>
    <n v="871.89254659999995"/>
    <n v="73246"/>
    <n v="306"/>
    <x v="0"/>
    <n v="637229"/>
    <n v="693869"/>
    <n v="56640"/>
    <n v="571699"/>
  </r>
  <r>
    <x v="25"/>
    <n v="0.13200000000000001"/>
    <n v="9.8000000000000004E-2"/>
    <n v="-3.4000000000000002E-2"/>
    <n v="203000"/>
    <n v="3389000"/>
    <n v="252044"/>
    <n v="3641044"/>
    <n v="1793.6177339999999"/>
    <n v="225878"/>
    <n v="315"/>
    <x v="0"/>
    <n v="846084"/>
    <n v="967284"/>
    <n v="121200"/>
    <n v="1163543"/>
  </r>
  <r>
    <x v="26"/>
    <n v="0.17299999999999999"/>
    <n v="0.11600000000000001"/>
    <n v="-5.7000000000000002E-2"/>
    <n v="58000"/>
    <n v="510000"/>
    <n v="51758"/>
    <n v="561758"/>
    <n v="968.54827590000002"/>
    <n v="44091"/>
    <n v="306"/>
    <x v="1"/>
    <n v="148974"/>
    <n v="224048"/>
    <n v="75074"/>
    <n v="209389"/>
  </r>
  <r>
    <x v="27"/>
    <n v="0.115"/>
    <n v="8.2000000000000003E-2"/>
    <n v="-3.3000000000000002E-2"/>
    <n v="62000"/>
    <n v="1100000"/>
    <n v="80213"/>
    <n v="1180213"/>
    <n v="1903.5693550000001"/>
    <n v="72091"/>
    <n v="296"/>
    <x v="0"/>
    <n v="244600"/>
    <n v="242702"/>
    <n v="-1898"/>
    <n v="322796"/>
  </r>
  <r>
    <x v="28"/>
    <n v="0.22600000000000001"/>
    <n v="0.123"/>
    <n v="-0.10299999999999999"/>
    <n v="294000"/>
    <n v="1505000"/>
    <n v="79876"/>
    <n v="1584876"/>
    <n v="539.07346940000002"/>
    <n v="71472"/>
    <n v="268"/>
    <x v="1"/>
    <n v="332560"/>
    <n v="614298"/>
    <n v="281738"/>
    <n v="471747"/>
  </r>
  <r>
    <x v="29"/>
    <n v="0.111"/>
    <n v="6.3E-2"/>
    <n v="-4.8000000000000001E-2"/>
    <n v="63000"/>
    <n v="853000"/>
    <n v="49114"/>
    <n v="902114"/>
    <n v="1431.9269839999999"/>
    <n v="31151"/>
    <n v="261"/>
    <x v="1"/>
    <n v="127082"/>
    <n v="189429"/>
    <n v="62347"/>
    <n v="275803"/>
  </r>
  <r>
    <x v="30"/>
    <n v="0.13200000000000001"/>
    <n v="8.6999999999999994E-2"/>
    <n v="-4.4999999999999998E-2"/>
    <n v="398000"/>
    <n v="5450000"/>
    <n v="249395"/>
    <n v="5699395"/>
    <n v="1432.0087940000001"/>
    <n v="205242"/>
    <n v="322"/>
    <x v="1"/>
    <n v="1283851"/>
    <n v="1784529"/>
    <n v="500678"/>
    <n v="1528961"/>
  </r>
  <r>
    <x v="31"/>
    <n v="0.19600000000000001"/>
    <n v="0.109"/>
    <n v="-8.6999999999999994E-2"/>
    <n v="178000"/>
    <n v="884000"/>
    <n v="47497"/>
    <n v="931497"/>
    <n v="523.31292129999997"/>
    <n v="32703"/>
    <n v="212"/>
    <x v="1"/>
    <n v="457678"/>
    <n v="766732"/>
    <n v="309054"/>
    <n v="385918"/>
  </r>
  <r>
    <x v="32"/>
    <n v="0.11899999999999999"/>
    <n v="7.0999999999999994E-2"/>
    <n v="-4.8000000000000001E-2"/>
    <n v="939000"/>
    <n v="10895000"/>
    <n v="224014"/>
    <n v="11119014"/>
    <n v="1184.133546"/>
    <n v="123830"/>
    <n v="178"/>
    <x v="1"/>
    <n v="5678417"/>
    <n v="6431165"/>
    <n v="752748"/>
    <n v="3424666"/>
  </r>
  <r>
    <x v="33"/>
    <n v="0.16800000000000001"/>
    <n v="0.112"/>
    <n v="-5.6000000000000001E-2"/>
    <n v="552000"/>
    <n v="4934000"/>
    <n v="545354"/>
    <n v="5479354"/>
    <n v="992.63659419999999"/>
    <n v="499178"/>
    <n v="401"/>
    <x v="0"/>
    <n v="1595952"/>
    <n v="2072282"/>
    <n v="476330"/>
    <n v="1823454"/>
  </r>
  <r>
    <x v="34"/>
    <n v="9.8000000000000004E-2"/>
    <n v="7.8E-2"/>
    <n v="-0.02"/>
    <n v="15000"/>
    <n v="450000"/>
    <n v="20536"/>
    <n v="470536"/>
    <n v="3136.9066670000002"/>
    <n v="17630"/>
    <n v="262"/>
    <x v="1"/>
    <n v="69980"/>
    <n v="89763"/>
    <n v="19783"/>
    <n v="122294"/>
  </r>
  <r>
    <x v="35"/>
    <n v="0.123"/>
    <n v="6.5000000000000002E-2"/>
    <n v="-5.8000000000000003E-2"/>
    <n v="664000"/>
    <n v="6831000"/>
    <n v="212046"/>
    <n v="7043046"/>
    <n v="1060.699699"/>
    <n v="174448"/>
    <n v="250"/>
    <x v="1"/>
    <n v="2341481"/>
    <n v="3003170"/>
    <n v="661689"/>
    <n v="2208504"/>
  </r>
  <r>
    <x v="36"/>
    <n v="0.189"/>
    <n v="0.13900000000000001"/>
    <n v="-0.05"/>
    <n v="192000"/>
    <n v="1948000"/>
    <n v="130178"/>
    <n v="2078178"/>
    <n v="1082.3843750000001"/>
    <n v="113209"/>
    <n v="298"/>
    <x v="0"/>
    <n v="790051"/>
    <n v="788544"/>
    <n v="-1507"/>
    <n v="693677"/>
  </r>
  <r>
    <x v="37"/>
    <n v="0.17100000000000001"/>
    <n v="7.0000000000000007E-2"/>
    <n v="-0.10100000000000001"/>
    <n v="403000"/>
    <n v="2070000"/>
    <n v="131167"/>
    <n v="2201167"/>
    <n v="546.19528539999999"/>
    <n v="95507"/>
    <n v="253"/>
    <x v="1"/>
    <n v="626356"/>
    <n v="1021862"/>
    <n v="395506"/>
    <n v="784032"/>
  </r>
  <r>
    <x v="38"/>
    <n v="0.10199999999999999"/>
    <n v="6.4000000000000001E-2"/>
    <n v="-3.7999999999999999E-2"/>
    <n v="479000"/>
    <n v="7502000"/>
    <n v="412347"/>
    <n v="7914347"/>
    <n v="1652.2645090000001"/>
    <n v="321345"/>
    <n v="248"/>
    <x v="1"/>
    <n v="2386046"/>
    <n v="2883114"/>
    <n v="497068"/>
    <n v="2588577"/>
  </r>
  <r>
    <x v="39"/>
    <n v="0.122"/>
    <n v="5.7000000000000002E-2"/>
    <n v="-6.5000000000000002E-2"/>
    <n v="68000"/>
    <n v="597000"/>
    <n v="35583"/>
    <n v="632583"/>
    <n v="930.26911759999996"/>
    <n v="30015"/>
    <n v="250"/>
    <x v="1"/>
    <n v="190833"/>
    <n v="287173"/>
    <n v="96340"/>
    <n v="208324"/>
  </r>
  <r>
    <x v="40"/>
    <n v="0.17499999999999999"/>
    <n v="0.109"/>
    <n v="-6.6000000000000003E-2"/>
    <n v="317000"/>
    <n v="2487000"/>
    <n v="204846"/>
    <n v="2691846"/>
    <n v="849.16277600000001"/>
    <n v="186345"/>
    <n v="312"/>
    <x v="0"/>
    <n v="889744"/>
    <n v="994804"/>
    <n v="105060"/>
    <n v="974114"/>
  </r>
  <r>
    <x v="41"/>
    <n v="0.124"/>
    <n v="0.10199999999999999"/>
    <n v="-2.1999999999999999E-2"/>
    <n v="19000"/>
    <n v="449000"/>
    <n v="24578"/>
    <n v="473578"/>
    <n v="2492.515789"/>
    <n v="22005"/>
    <n v="307"/>
    <x v="0"/>
    <n v="115501"/>
    <n v="119835"/>
    <n v="4334"/>
    <n v="161464"/>
  </r>
  <r>
    <x v="42"/>
    <n v="0.14399999999999999"/>
    <n v="0.10299999999999999"/>
    <n v="-4.1000000000000002E-2"/>
    <n v="266000"/>
    <n v="3369000"/>
    <n v="231705"/>
    <n v="3600705"/>
    <n v="1353.648496"/>
    <n v="203112"/>
    <n v="299"/>
    <x v="0"/>
    <n v="1244516"/>
    <n v="1627100"/>
    <n v="382584"/>
    <n v="1266920"/>
  </r>
  <r>
    <x v="43"/>
    <n v="0.23699999999999999"/>
    <n v="0.17100000000000001"/>
    <n v="-6.6000000000000003E-2"/>
    <n v="1781000"/>
    <n v="13709000"/>
    <n v="1092650"/>
    <n v="14801650"/>
    <n v="831.08646829999998"/>
    <n v="913177"/>
    <n v="271"/>
    <x v="0"/>
    <n v="4441605"/>
    <n v="4770229"/>
    <n v="328624"/>
    <n v="3765946"/>
  </r>
  <r>
    <x v="44"/>
    <n v="0.153"/>
    <n v="0.105"/>
    <n v="-4.8000000000000001E-2"/>
    <n v="143000"/>
    <n v="1897000"/>
    <n v="164415"/>
    <n v="2061415"/>
    <n v="1441.548951"/>
    <n v="145288"/>
    <n v="187"/>
    <x v="0"/>
    <n v="294029"/>
    <n v="314182"/>
    <n v="20153"/>
    <n v="358887"/>
  </r>
  <r>
    <x v="45"/>
    <n v="0.08"/>
    <n v="3.7999999999999999E-2"/>
    <n v="-4.2000000000000003E-2"/>
    <n v="26000"/>
    <n v="345000"/>
    <n v="27883"/>
    <n v="372883"/>
    <n v="1434.165385"/>
    <n v="19575"/>
    <n v="300"/>
    <x v="1"/>
    <n v="161081"/>
    <n v="175597"/>
    <n v="14516"/>
    <n v="136021"/>
  </r>
  <r>
    <x v="46"/>
    <n v="0.13100000000000001"/>
    <n v="9.0999999999999998E-2"/>
    <n v="-0.04"/>
    <n v="327000"/>
    <n v="4850000"/>
    <n v="378838"/>
    <n v="5228838"/>
    <n v="1599.0330280000001"/>
    <n v="319068"/>
    <n v="276"/>
    <x v="0"/>
    <n v="935434"/>
    <n v="988821"/>
    <n v="53387"/>
    <n v="1392261"/>
  </r>
  <r>
    <x v="47"/>
    <n v="0.14199999999999999"/>
    <n v="6.6000000000000003E-2"/>
    <n v="-7.5999999999999998E-2"/>
    <n v="537000"/>
    <n v="3986000"/>
    <n v="158245"/>
    <n v="4144245"/>
    <n v="771.74022349999996"/>
    <n v="110476"/>
    <n v="238"/>
    <x v="1"/>
    <n v="1117576"/>
    <n v="1788536"/>
    <n v="670960"/>
    <n v="1238649"/>
  </r>
  <r>
    <x v="48"/>
    <n v="0.14599999999999999"/>
    <n v="0.06"/>
    <n v="-8.5999999999999993E-2"/>
    <n v="156000"/>
    <n v="976000"/>
    <n v="33235"/>
    <n v="1009235"/>
    <n v="646.94551279999996"/>
    <n v="29163"/>
    <n v="388"/>
    <x v="1"/>
    <n v="354544"/>
    <n v="575645"/>
    <n v="221101"/>
    <n v="423500"/>
  </r>
  <r>
    <x v="49"/>
    <n v="9.4E-2"/>
    <n v="5.7000000000000002E-2"/>
    <n v="-3.6999999999999998E-2"/>
    <n v="211000"/>
    <n v="3521000"/>
    <n v="224208"/>
    <n v="3745208"/>
    <n v="1774.9800949999999"/>
    <n v="190542"/>
    <n v="332"/>
    <x v="0"/>
    <n v="985531"/>
    <n v="1046897"/>
    <n v="61366"/>
    <n v="1084854"/>
  </r>
  <r>
    <x v="50"/>
    <n v="0.14899999999999999"/>
    <n v="0.115"/>
    <n v="-3.4000000000000002E-2"/>
    <n v="20000"/>
    <n v="335000"/>
    <n v="22076"/>
    <n v="357076"/>
    <n v="1785.38"/>
    <n v="20313"/>
    <n v="459"/>
    <x v="0"/>
    <n v="67518"/>
    <n v="63583"/>
    <n v="-3935"/>
    <n v="99128"/>
  </r>
  <r>
    <x v="51"/>
    <n v="0.155"/>
    <n v="9.4E-2"/>
    <n v="6.0999999999999999E-2"/>
    <n v="19304000"/>
    <n v="172292000"/>
    <n v="11081330"/>
    <n v="183373330"/>
    <n v="949.92400540000006"/>
    <n v="9389609"/>
    <n v="291"/>
    <x v="2"/>
    <n v="56392477"/>
    <n v="73532931"/>
    <n v="16106157"/>
    <n v="571499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D9E88-9051-4AA0-AC58-E1181EB6D60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46:D57" firstHeaderRow="0" firstDataRow="1" firstDataCol="1"/>
  <pivotFields count="16">
    <pivotField axis="axisRow" showAll="0" measureFilter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1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numFmtId="6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1">
    <i>
      <x v="4"/>
    </i>
    <i>
      <x v="9"/>
    </i>
    <i>
      <x v="10"/>
    </i>
    <i>
      <x v="13"/>
    </i>
    <i>
      <x v="22"/>
    </i>
    <i>
      <x v="32"/>
    </i>
    <i>
      <x v="33"/>
    </i>
    <i>
      <x v="35"/>
    </i>
    <i>
      <x v="43"/>
    </i>
    <i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ealth Insurance Coverage Change (2010-2015)" fld="4" baseField="0" baseItem="0"/>
    <dataField name="Sum of Health Insurance Coverage Change(2015-2016)" fld="7" baseField="0" baseItem="0"/>
    <dataField name="Sum of Average Monthly Tax Credit (2016)" fld="10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B25B2-6796-4496-A00A-329BA57C150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6:B40" firstHeaderRow="1" firstDataRow="1" firstDataCol="1"/>
  <pivotFields count="16"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1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e Medicaid Expansion (2016)" fld="11" subtotal="count" baseField="11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124AA-6B52-4C68-9680-7F16F8C7411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8:B29" firstHeaderRow="1" firstDataRow="1" firstDataCol="1"/>
  <pivotFields count="16">
    <pivotField axis="axisRow" showAll="0" measureFilter="1" sortType="de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1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6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44"/>
    </i>
    <i>
      <x v="9"/>
    </i>
    <i>
      <x v="4"/>
    </i>
    <i>
      <x v="43"/>
    </i>
    <i>
      <x v="33"/>
    </i>
    <i>
      <x v="10"/>
    </i>
    <i>
      <x v="38"/>
    </i>
    <i>
      <x v="47"/>
    </i>
    <i>
      <x v="13"/>
    </i>
    <i>
      <x v="22"/>
    </i>
    <i t="grand">
      <x/>
    </i>
  </rowItems>
  <colItems count="1">
    <i/>
  </colItems>
  <dataFields count="1">
    <dataField name="Sum of Marketplace Health Insurance Coverage (2016)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9A100-F38A-4C42-81DF-34CF7E3CC59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6">
    <pivotField axis="axisRow" showAll="0" measureFilter="1" sortType="descending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1"/>
        <item x="44"/>
        <item x="45"/>
        <item x="46"/>
        <item x="47"/>
        <item x="48"/>
        <item x="49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44"/>
    </i>
    <i>
      <x v="21"/>
    </i>
    <i>
      <x v="19"/>
    </i>
    <i>
      <x v="34"/>
    </i>
    <i>
      <x v="41"/>
    </i>
    <i>
      <x v="6"/>
    </i>
    <i>
      <x v="27"/>
    </i>
    <i>
      <x v="25"/>
    </i>
    <i>
      <x v="51"/>
    </i>
    <i>
      <x v="50"/>
    </i>
    <i t="grand">
      <x/>
    </i>
  </rowItems>
  <colItems count="1">
    <i/>
  </colItems>
  <dataFields count="1">
    <dataField name="Sum of Uninsured Rate Change (2010-2015)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73BCE-A3FB-4699-ACAC-A832F500050E}" name="Table2" displayName="Table2" ref="A1:P20" totalsRowShown="0">
  <autoFilter ref="A1:P20" xr:uid="{DE573BCE-A3FB-4699-ACAC-A832F500050E}"/>
  <tableColumns count="16">
    <tableColumn id="1" xr3:uid="{E3C8CEC8-5976-494F-8C3B-1C310E034782}" name="State"/>
    <tableColumn id="2" xr3:uid="{DA236851-C706-4121-AA8C-86790B82906A}" name="Uninsured Rate (2010)"/>
    <tableColumn id="3" xr3:uid="{FD40A123-1B61-48A3-9EC3-56C2574397A8}" name="Uninsured Rate (2015)"/>
    <tableColumn id="4" xr3:uid="{103E9FC2-D7BA-45D9-9071-DDB917A0B146}" name="Uninsured Rate Change (2010-2015)"/>
    <tableColumn id="5" xr3:uid="{D44D014F-242A-4B27-8854-DC30E58F53BD}" name="Health Insurance Coverage Change (2010-2015)"/>
    <tableColumn id="6" xr3:uid="{59B9EB05-C0C3-4887-84B2-13D8E8D9844E}" name="Employer Health Insurance Coverage (2015)"/>
    <tableColumn id="7" xr3:uid="{E2520E86-0999-4BE6-99DF-6934D42C91D3}" name="Marketplace Health Insurance Coverage (2016)"/>
    <tableColumn id="8" xr3:uid="{ABB4526C-A488-49C6-B064-C12116A9BCAA}" name="Health Insurance Coverage Change(2015-2016)"/>
    <tableColumn id="9" xr3:uid="{A75FB050-850E-4C7F-B219-989CE8C76BCD}" name="% increase/Decrease"/>
    <tableColumn id="10" xr3:uid="{5BAE084C-E332-444E-A8EF-EC1B55A92C84}" name="Marketplace Tax Credits (2016)"/>
    <tableColumn id="11" xr3:uid="{5E2478E1-9A29-41BA-A7B7-FD9122B4F99A}" name="Average Monthly Tax Credit (2016)"/>
    <tableColumn id="12" xr3:uid="{2AF05A1C-FBB8-463D-ABA4-F575C01A73B7}" name="State Medicaid Expansion (2016)"/>
    <tableColumn id="13" xr3:uid="{CF1A43CE-5A57-4579-B52E-51E4B8068517}" name="Medicaid Enrollment (2013)"/>
    <tableColumn id="14" xr3:uid="{CF5AFABB-FAB5-438B-8AAA-EDED7BE2AB0B}" name="Medicaid Enrollment (2016)"/>
    <tableColumn id="15" xr3:uid="{BA81113F-4280-470E-891A-9C2DC9DDB425}" name="Medicaid Enrollment Change (2013-2016)"/>
    <tableColumn id="16" xr3:uid="{E97A14A9-29C8-46F9-80D8-E2816EBE8586}" name="Medicare Enrollment (2016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4EF4B-6815-47E3-9697-4CBA3E2D1DE4}" name="Table1" displayName="Table1" ref="A1:P53" totalsRowShown="0">
  <autoFilter ref="A1:P53" xr:uid="{8984EF4B-6815-47E3-9697-4CBA3E2D1DE4}"/>
  <tableColumns count="16">
    <tableColumn id="1" xr3:uid="{038156BF-9C2E-4674-86D4-B3DB602C0BC1}" name="State"/>
    <tableColumn id="2" xr3:uid="{6D19C73A-9EB4-4C01-B055-06040CC03979}" name="Uninsured Rate (2010)" dataDxfId="3"/>
    <tableColumn id="3" xr3:uid="{ABB151BA-A255-4C11-8748-6602539594E6}" name="Uninsured Rate (2015)" dataDxfId="2"/>
    <tableColumn id="4" xr3:uid="{B31C0EAB-11ED-4483-81B2-6610F1BC76A6}" name="Uninsured Rate Change (2010-2015)" dataDxfId="1"/>
    <tableColumn id="5" xr3:uid="{6F71327C-9465-4C25-8C27-FDBC0338E91D}" name="Health Insurance Coverage Change (2010-2015)"/>
    <tableColumn id="6" xr3:uid="{E67CB981-0668-48DB-95A1-4F60AF53AFB5}" name="Employer Health Insurance Coverage (2015)"/>
    <tableColumn id="7" xr3:uid="{32D370FF-2BC4-456C-934F-25A2AF5EFCEC}" name="Marketplace Health Insurance Coverage (2016)"/>
    <tableColumn id="8" xr3:uid="{894F53F4-D3BD-4E5D-BF99-FAFA6B128014}" name="Health Insurance Coverage Change(2015-2016)"/>
    <tableColumn id="9" xr3:uid="{7D56B2DF-38E1-4B1E-898E-3D698B0CADD9}" name="% increase/Decrease"/>
    <tableColumn id="10" xr3:uid="{AEEEB004-D36F-4022-A669-6321C61F2D43}" name="Marketplace Tax Credits (2016)"/>
    <tableColumn id="11" xr3:uid="{57403124-4674-4F2C-B810-B06A7CF40AB8}" name="Average Monthly Tax Credit (2016)" dataDxfId="0"/>
    <tableColumn id="12" xr3:uid="{5A5AAB19-B4E8-45F3-85B6-710DD6EA7483}" name="State Medicaid Expansion (2016)"/>
    <tableColumn id="13" xr3:uid="{3D3EB4D8-DC29-40A0-9766-DC9166BE5B30}" name="Medicaid Enrollment (2013)"/>
    <tableColumn id="14" xr3:uid="{2836A6E9-A723-42B3-A174-D790A2513E09}" name="Medicaid Enrollment (2016)"/>
    <tableColumn id="15" xr3:uid="{7DF1FFCC-B5E7-423F-B166-D15AFA028318}" name="Medicaid Enrollment Change (2013-2016)"/>
    <tableColumn id="16" xr3:uid="{A9FAD108-901A-4853-95B7-9AC4F60C4AEC}" name="Medicare Enrollment (201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A3B4-E369-421F-AAE5-79F96B35BFC1}">
  <dimension ref="A1:P20"/>
  <sheetViews>
    <sheetView workbookViewId="0">
      <selection sqref="A1:P20"/>
    </sheetView>
  </sheetViews>
  <sheetFormatPr defaultRowHeight="14.5" x14ac:dyDescent="0.35"/>
  <cols>
    <col min="2" max="3" width="21.453125" customWidth="1"/>
    <col min="4" max="4" width="32.7265625" customWidth="1"/>
    <col min="5" max="5" width="42.1796875" customWidth="1"/>
    <col min="6" max="6" width="39.26953125" customWidth="1"/>
    <col min="7" max="7" width="41.90625" customWidth="1"/>
    <col min="8" max="8" width="41.7265625" customWidth="1"/>
    <col min="9" max="9" width="20.08984375" customWidth="1"/>
    <col min="10" max="10" width="28.81640625" customWidth="1"/>
    <col min="11" max="11" width="31.7265625" customWidth="1"/>
    <col min="12" max="12" width="30" customWidth="1"/>
    <col min="13" max="14" width="25.90625" customWidth="1"/>
    <col min="15" max="15" width="37.1796875" customWidth="1"/>
    <col min="16" max="16" width="26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0.14599999999999999</v>
      </c>
      <c r="C2">
        <v>0.10100000000000001</v>
      </c>
      <c r="D2">
        <v>-4.4999999999999998E-2</v>
      </c>
      <c r="E2">
        <v>215000</v>
      </c>
      <c r="F2">
        <v>2545000</v>
      </c>
      <c r="G2">
        <v>165534</v>
      </c>
      <c r="H2">
        <v>2710534</v>
      </c>
      <c r="I2">
        <v>1260.7134880000001</v>
      </c>
      <c r="J2">
        <v>152206</v>
      </c>
      <c r="K2">
        <v>310</v>
      </c>
      <c r="L2" t="b">
        <v>0</v>
      </c>
      <c r="M2">
        <v>799176</v>
      </c>
      <c r="N2">
        <v>910775</v>
      </c>
      <c r="O2">
        <v>111599</v>
      </c>
      <c r="P2">
        <v>989855</v>
      </c>
    </row>
    <row r="3" spans="1:16" x14ac:dyDescent="0.35">
      <c r="A3" t="s">
        <v>66</v>
      </c>
      <c r="B3">
        <v>0.14899999999999999</v>
      </c>
      <c r="C3">
        <v>0.115</v>
      </c>
      <c r="D3">
        <v>-3.4000000000000002E-2</v>
      </c>
      <c r="E3">
        <v>20000</v>
      </c>
      <c r="F3">
        <v>335000</v>
      </c>
      <c r="G3">
        <v>22076</v>
      </c>
      <c r="H3">
        <v>357076</v>
      </c>
      <c r="I3">
        <v>1785.38</v>
      </c>
      <c r="J3">
        <v>20313</v>
      </c>
      <c r="K3">
        <v>459</v>
      </c>
      <c r="L3" t="b">
        <v>0</v>
      </c>
      <c r="M3">
        <v>67518</v>
      </c>
      <c r="N3">
        <v>63583</v>
      </c>
      <c r="O3">
        <v>-3935</v>
      </c>
      <c r="P3">
        <v>99128</v>
      </c>
    </row>
    <row r="4" spans="1:16" x14ac:dyDescent="0.35">
      <c r="A4" t="s">
        <v>65</v>
      </c>
      <c r="B4">
        <v>9.4E-2</v>
      </c>
      <c r="C4">
        <v>5.7000000000000002E-2</v>
      </c>
      <c r="D4">
        <v>-3.6999999999999998E-2</v>
      </c>
      <c r="E4">
        <v>211000</v>
      </c>
      <c r="F4">
        <v>3521000</v>
      </c>
      <c r="G4">
        <v>224208</v>
      </c>
      <c r="H4">
        <v>3745208</v>
      </c>
      <c r="I4">
        <v>1774.9800949999999</v>
      </c>
      <c r="J4">
        <v>190542</v>
      </c>
      <c r="K4">
        <v>332</v>
      </c>
      <c r="L4" t="b">
        <v>0</v>
      </c>
      <c r="M4">
        <v>985531</v>
      </c>
      <c r="N4">
        <v>1046897</v>
      </c>
      <c r="O4">
        <v>61366</v>
      </c>
      <c r="P4">
        <v>1084854</v>
      </c>
    </row>
    <row r="5" spans="1:16" x14ac:dyDescent="0.35">
      <c r="A5" t="s">
        <v>62</v>
      </c>
      <c r="B5">
        <v>0.13100000000000001</v>
      </c>
      <c r="C5">
        <v>9.0999999999999998E-2</v>
      </c>
      <c r="D5">
        <v>-0.04</v>
      </c>
      <c r="E5">
        <v>327000</v>
      </c>
      <c r="F5">
        <v>4850000</v>
      </c>
      <c r="G5">
        <v>378838</v>
      </c>
      <c r="H5">
        <v>5228838</v>
      </c>
      <c r="I5">
        <v>1599.0330280000001</v>
      </c>
      <c r="J5">
        <v>319068</v>
      </c>
      <c r="K5">
        <v>276</v>
      </c>
      <c r="L5" t="b">
        <v>0</v>
      </c>
      <c r="M5">
        <v>935434</v>
      </c>
      <c r="N5">
        <v>988821</v>
      </c>
      <c r="O5">
        <v>53387</v>
      </c>
      <c r="P5">
        <v>1392261</v>
      </c>
    </row>
    <row r="6" spans="1:16" x14ac:dyDescent="0.35">
      <c r="A6" t="s">
        <v>60</v>
      </c>
      <c r="B6">
        <v>0.153</v>
      </c>
      <c r="C6">
        <v>0.105</v>
      </c>
      <c r="D6">
        <v>-4.8000000000000001E-2</v>
      </c>
      <c r="E6">
        <v>143000</v>
      </c>
      <c r="F6">
        <v>1897000</v>
      </c>
      <c r="G6">
        <v>164415</v>
      </c>
      <c r="H6">
        <v>2061415</v>
      </c>
      <c r="I6">
        <v>1441.548951</v>
      </c>
      <c r="J6">
        <v>145288</v>
      </c>
      <c r="K6">
        <v>187</v>
      </c>
      <c r="L6" t="b">
        <v>0</v>
      </c>
      <c r="M6">
        <v>294029</v>
      </c>
      <c r="N6">
        <v>314182</v>
      </c>
      <c r="O6">
        <v>20153</v>
      </c>
      <c r="P6">
        <v>358887</v>
      </c>
    </row>
    <row r="7" spans="1:16" x14ac:dyDescent="0.35">
      <c r="A7" t="s">
        <v>59</v>
      </c>
      <c r="B7">
        <v>0.23699999999999999</v>
      </c>
      <c r="C7">
        <v>0.17100000000000001</v>
      </c>
      <c r="D7">
        <v>-6.6000000000000003E-2</v>
      </c>
      <c r="E7">
        <v>1781000</v>
      </c>
      <c r="F7">
        <v>13709000</v>
      </c>
      <c r="G7">
        <v>1092650</v>
      </c>
      <c r="H7">
        <v>14801650</v>
      </c>
      <c r="I7">
        <v>831.08646829999998</v>
      </c>
      <c r="J7">
        <v>913177</v>
      </c>
      <c r="K7">
        <v>271</v>
      </c>
      <c r="L7" t="b">
        <v>0</v>
      </c>
      <c r="M7">
        <v>4441605</v>
      </c>
      <c r="N7">
        <v>4770229</v>
      </c>
      <c r="O7">
        <v>328624</v>
      </c>
      <c r="P7">
        <v>3765946</v>
      </c>
    </row>
    <row r="8" spans="1:16" x14ac:dyDescent="0.35">
      <c r="A8" t="s">
        <v>58</v>
      </c>
      <c r="B8">
        <v>0.14399999999999999</v>
      </c>
      <c r="C8">
        <v>0.10299999999999999</v>
      </c>
      <c r="D8">
        <v>-4.1000000000000002E-2</v>
      </c>
      <c r="E8">
        <v>266000</v>
      </c>
      <c r="F8">
        <v>3369000</v>
      </c>
      <c r="G8">
        <v>231705</v>
      </c>
      <c r="H8">
        <v>3600705</v>
      </c>
      <c r="I8">
        <v>1353.648496</v>
      </c>
      <c r="J8">
        <v>203112</v>
      </c>
      <c r="K8">
        <v>299</v>
      </c>
      <c r="L8" t="b">
        <v>0</v>
      </c>
      <c r="M8">
        <v>1244516</v>
      </c>
      <c r="N8">
        <v>1627100</v>
      </c>
      <c r="O8">
        <v>382584</v>
      </c>
      <c r="P8">
        <v>1266920</v>
      </c>
    </row>
    <row r="9" spans="1:16" x14ac:dyDescent="0.35">
      <c r="A9" t="s">
        <v>57</v>
      </c>
      <c r="B9">
        <v>0.124</v>
      </c>
      <c r="C9">
        <v>0.10199999999999999</v>
      </c>
      <c r="D9">
        <v>-2.1999999999999999E-2</v>
      </c>
      <c r="E9">
        <v>19000</v>
      </c>
      <c r="F9">
        <v>449000</v>
      </c>
      <c r="G9">
        <v>24578</v>
      </c>
      <c r="H9">
        <v>473578</v>
      </c>
      <c r="I9">
        <v>2492.515789</v>
      </c>
      <c r="J9">
        <v>22005</v>
      </c>
      <c r="K9">
        <v>307</v>
      </c>
      <c r="L9" t="b">
        <v>0</v>
      </c>
      <c r="M9">
        <v>115501</v>
      </c>
      <c r="N9">
        <v>119835</v>
      </c>
      <c r="O9">
        <v>4334</v>
      </c>
      <c r="P9">
        <v>161464</v>
      </c>
    </row>
    <row r="10" spans="1:16" x14ac:dyDescent="0.35">
      <c r="A10" t="s">
        <v>56</v>
      </c>
      <c r="B10">
        <v>0.17499999999999999</v>
      </c>
      <c r="C10">
        <v>0.109</v>
      </c>
      <c r="D10">
        <v>-6.6000000000000003E-2</v>
      </c>
      <c r="E10">
        <v>317000</v>
      </c>
      <c r="F10">
        <v>2487000</v>
      </c>
      <c r="G10">
        <v>204846</v>
      </c>
      <c r="H10">
        <v>2691846</v>
      </c>
      <c r="I10">
        <v>849.16277600000001</v>
      </c>
      <c r="J10">
        <v>186345</v>
      </c>
      <c r="K10">
        <v>312</v>
      </c>
      <c r="L10" t="b">
        <v>0</v>
      </c>
      <c r="M10">
        <v>889744</v>
      </c>
      <c r="N10">
        <v>994804</v>
      </c>
      <c r="O10">
        <v>105060</v>
      </c>
      <c r="P10">
        <v>974114</v>
      </c>
    </row>
    <row r="11" spans="1:16" x14ac:dyDescent="0.35">
      <c r="A11" t="s">
        <v>25</v>
      </c>
      <c r="B11">
        <v>0.21299999999999999</v>
      </c>
      <c r="C11">
        <v>0.13300000000000001</v>
      </c>
      <c r="D11">
        <v>-0.08</v>
      </c>
      <c r="E11">
        <v>1597000</v>
      </c>
      <c r="F11">
        <v>8847000</v>
      </c>
      <c r="G11">
        <v>1531714</v>
      </c>
      <c r="H11">
        <v>10378714</v>
      </c>
      <c r="I11">
        <v>649.88816529999997</v>
      </c>
      <c r="J11">
        <v>1428712</v>
      </c>
      <c r="K11">
        <v>305</v>
      </c>
      <c r="L11" t="b">
        <v>0</v>
      </c>
      <c r="M11">
        <v>3104996</v>
      </c>
      <c r="N11">
        <v>3644673</v>
      </c>
      <c r="O11">
        <v>539677</v>
      </c>
      <c r="P11">
        <v>4149593</v>
      </c>
    </row>
    <row r="12" spans="1:16" x14ac:dyDescent="0.35">
      <c r="A12" t="s">
        <v>26</v>
      </c>
      <c r="B12">
        <v>0.19700000000000001</v>
      </c>
      <c r="C12">
        <v>0.13900000000000001</v>
      </c>
      <c r="D12">
        <v>-5.8000000000000003E-2</v>
      </c>
      <c r="E12">
        <v>581000</v>
      </c>
      <c r="F12">
        <v>5240000</v>
      </c>
      <c r="G12">
        <v>478016</v>
      </c>
      <c r="H12">
        <v>5718016</v>
      </c>
      <c r="I12">
        <v>984.16798619999997</v>
      </c>
      <c r="J12">
        <v>427353</v>
      </c>
      <c r="K12">
        <v>291</v>
      </c>
      <c r="L12" t="b">
        <v>0</v>
      </c>
      <c r="M12">
        <v>1535090</v>
      </c>
      <c r="N12">
        <v>1782301</v>
      </c>
      <c r="O12">
        <v>247211</v>
      </c>
      <c r="P12">
        <v>1574058</v>
      </c>
    </row>
    <row r="13" spans="1:16" x14ac:dyDescent="0.35">
      <c r="A13" t="s">
        <v>52</v>
      </c>
      <c r="B13">
        <v>0.189</v>
      </c>
      <c r="C13">
        <v>0.13900000000000001</v>
      </c>
      <c r="D13">
        <v>-0.05</v>
      </c>
      <c r="E13">
        <v>192000</v>
      </c>
      <c r="F13">
        <v>1948000</v>
      </c>
      <c r="G13">
        <v>130178</v>
      </c>
      <c r="H13">
        <v>2078178</v>
      </c>
      <c r="I13">
        <v>1082.3843750000001</v>
      </c>
      <c r="J13">
        <v>113209</v>
      </c>
      <c r="K13">
        <v>298</v>
      </c>
      <c r="L13" t="b">
        <v>0</v>
      </c>
      <c r="M13">
        <v>790051</v>
      </c>
      <c r="N13">
        <v>788544</v>
      </c>
      <c r="O13">
        <v>-1507</v>
      </c>
      <c r="P13">
        <v>693677</v>
      </c>
    </row>
    <row r="14" spans="1:16" x14ac:dyDescent="0.35">
      <c r="A14" t="s">
        <v>28</v>
      </c>
      <c r="B14">
        <v>0.17699999999999999</v>
      </c>
      <c r="C14">
        <v>0.11</v>
      </c>
      <c r="D14">
        <v>-6.7000000000000004E-2</v>
      </c>
      <c r="E14">
        <v>109000</v>
      </c>
      <c r="F14">
        <v>836000</v>
      </c>
      <c r="G14">
        <v>94270</v>
      </c>
      <c r="H14">
        <v>930270</v>
      </c>
      <c r="I14">
        <v>853.4587156</v>
      </c>
      <c r="J14">
        <v>82802</v>
      </c>
      <c r="K14">
        <v>265</v>
      </c>
      <c r="L14" t="b">
        <v>0</v>
      </c>
      <c r="M14">
        <v>238150</v>
      </c>
      <c r="N14">
        <v>293905</v>
      </c>
      <c r="O14">
        <v>55755</v>
      </c>
      <c r="P14">
        <v>294284</v>
      </c>
    </row>
    <row r="15" spans="1:16" x14ac:dyDescent="0.35">
      <c r="A15" t="s">
        <v>49</v>
      </c>
      <c r="B15">
        <v>0.16800000000000001</v>
      </c>
      <c r="C15">
        <v>0.112</v>
      </c>
      <c r="D15">
        <v>-5.6000000000000001E-2</v>
      </c>
      <c r="E15">
        <v>552000</v>
      </c>
      <c r="F15">
        <v>4934000</v>
      </c>
      <c r="G15">
        <v>545354</v>
      </c>
      <c r="H15">
        <v>5479354</v>
      </c>
      <c r="I15">
        <v>992.63659419999999</v>
      </c>
      <c r="J15">
        <v>499178</v>
      </c>
      <c r="K15">
        <v>401</v>
      </c>
      <c r="L15" t="b">
        <v>0</v>
      </c>
      <c r="M15">
        <v>1595952</v>
      </c>
      <c r="N15">
        <v>2072282</v>
      </c>
      <c r="O15">
        <v>476330</v>
      </c>
      <c r="P15">
        <v>1823454</v>
      </c>
    </row>
    <row r="16" spans="1:16" x14ac:dyDescent="0.35">
      <c r="A16" t="s">
        <v>43</v>
      </c>
      <c r="B16">
        <v>0.115</v>
      </c>
      <c r="C16">
        <v>8.2000000000000003E-2</v>
      </c>
      <c r="D16">
        <v>-3.3000000000000002E-2</v>
      </c>
      <c r="E16">
        <v>62000</v>
      </c>
      <c r="F16">
        <v>1100000</v>
      </c>
      <c r="G16">
        <v>80213</v>
      </c>
      <c r="H16">
        <v>1180213</v>
      </c>
      <c r="I16">
        <v>1903.5693550000001</v>
      </c>
      <c r="J16">
        <v>72091</v>
      </c>
      <c r="K16">
        <v>296</v>
      </c>
      <c r="L16" t="b">
        <v>0</v>
      </c>
      <c r="M16">
        <v>244600</v>
      </c>
      <c r="N16">
        <v>242702</v>
      </c>
      <c r="O16">
        <v>-1898</v>
      </c>
      <c r="P16">
        <v>322796</v>
      </c>
    </row>
    <row r="17" spans="1:16" x14ac:dyDescent="0.35">
      <c r="A17" t="s">
        <v>41</v>
      </c>
      <c r="B17">
        <v>0.13200000000000001</v>
      </c>
      <c r="C17">
        <v>9.8000000000000004E-2</v>
      </c>
      <c r="D17">
        <v>-3.4000000000000002E-2</v>
      </c>
      <c r="E17">
        <v>203000</v>
      </c>
      <c r="F17">
        <v>3389000</v>
      </c>
      <c r="G17">
        <v>252044</v>
      </c>
      <c r="H17">
        <v>3641044</v>
      </c>
      <c r="I17">
        <v>1793.6177339999999</v>
      </c>
      <c r="J17">
        <v>225878</v>
      </c>
      <c r="K17">
        <v>315</v>
      </c>
      <c r="L17" t="b">
        <v>0</v>
      </c>
      <c r="M17">
        <v>846084</v>
      </c>
      <c r="N17">
        <v>967284</v>
      </c>
      <c r="O17">
        <v>121200</v>
      </c>
      <c r="P17">
        <v>1163543</v>
      </c>
    </row>
    <row r="18" spans="1:16" x14ac:dyDescent="0.35">
      <c r="A18" t="s">
        <v>32</v>
      </c>
      <c r="B18">
        <v>0.13900000000000001</v>
      </c>
      <c r="C18">
        <v>9.0999999999999998E-2</v>
      </c>
      <c r="D18">
        <v>-4.8000000000000001E-2</v>
      </c>
      <c r="E18">
        <v>137000</v>
      </c>
      <c r="F18">
        <v>1659000</v>
      </c>
      <c r="G18">
        <v>89566</v>
      </c>
      <c r="H18">
        <v>1748566</v>
      </c>
      <c r="I18">
        <v>1276.3255469999999</v>
      </c>
      <c r="J18">
        <v>75815</v>
      </c>
      <c r="K18">
        <v>247</v>
      </c>
      <c r="L18" t="b">
        <v>0</v>
      </c>
      <c r="M18">
        <v>378160</v>
      </c>
      <c r="N18">
        <v>421638</v>
      </c>
      <c r="O18">
        <v>43478</v>
      </c>
      <c r="P18">
        <v>499753</v>
      </c>
    </row>
    <row r="19" spans="1:16" x14ac:dyDescent="0.35">
      <c r="A19" t="s">
        <v>40</v>
      </c>
      <c r="B19">
        <v>0.182</v>
      </c>
      <c r="C19">
        <v>0.127</v>
      </c>
      <c r="D19">
        <v>-5.5E-2</v>
      </c>
      <c r="E19">
        <v>161000</v>
      </c>
      <c r="F19">
        <v>1326000</v>
      </c>
      <c r="G19">
        <v>77747</v>
      </c>
      <c r="H19">
        <v>1403747</v>
      </c>
      <c r="I19">
        <v>871.89254659999995</v>
      </c>
      <c r="J19">
        <v>73246</v>
      </c>
      <c r="K19">
        <v>306</v>
      </c>
      <c r="L19" t="b">
        <v>0</v>
      </c>
      <c r="M19">
        <v>637229</v>
      </c>
      <c r="N19">
        <v>693869</v>
      </c>
      <c r="O19">
        <v>56640</v>
      </c>
      <c r="P19">
        <v>571699</v>
      </c>
    </row>
    <row r="20" spans="1:16" x14ac:dyDescent="0.35">
      <c r="A20" t="s">
        <v>35</v>
      </c>
      <c r="B20">
        <v>0.10100000000000001</v>
      </c>
      <c r="C20">
        <v>8.4000000000000005E-2</v>
      </c>
      <c r="D20">
        <v>-1.7000000000000001E-2</v>
      </c>
      <c r="E20">
        <v>22000</v>
      </c>
      <c r="F20">
        <v>702000</v>
      </c>
      <c r="G20">
        <v>75240</v>
      </c>
      <c r="H20">
        <v>777240</v>
      </c>
      <c r="I20">
        <v>3532.909091</v>
      </c>
      <c r="J20">
        <v>63896</v>
      </c>
      <c r="K20">
        <v>342</v>
      </c>
      <c r="L20" t="b">
        <v>0</v>
      </c>
      <c r="N20">
        <v>273160</v>
      </c>
      <c r="P20">
        <v>315160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67FE-6AD8-47AD-89D7-27D11F1EFF9B}">
  <dimension ref="A3:D57"/>
  <sheetViews>
    <sheetView topLeftCell="A42" zoomScale="68" workbookViewId="0">
      <selection activeCell="E61" sqref="E61:E62"/>
    </sheetView>
  </sheetViews>
  <sheetFormatPr defaultRowHeight="14.5" x14ac:dyDescent="0.35"/>
  <cols>
    <col min="1" max="1" width="13.54296875" bestFit="1" customWidth="1"/>
    <col min="2" max="2" width="47.26953125" bestFit="1" customWidth="1"/>
    <col min="3" max="3" width="46.81640625" bestFit="1" customWidth="1"/>
    <col min="4" max="5" width="36.54296875" bestFit="1" customWidth="1"/>
    <col min="6" max="6" width="34.81640625" bestFit="1" customWidth="1"/>
    <col min="7" max="7" width="17.81640625" bestFit="1" customWidth="1"/>
    <col min="8" max="8" width="39.6328125" bestFit="1" customWidth="1"/>
    <col min="9" max="9" width="9.1796875" bestFit="1" customWidth="1"/>
    <col min="10" max="10" width="17.54296875" bestFit="1" customWidth="1"/>
    <col min="11" max="11" width="7" bestFit="1" customWidth="1"/>
    <col min="12" max="12" width="7.7265625" bestFit="1" customWidth="1"/>
    <col min="13" max="13" width="6.453125" bestFit="1" customWidth="1"/>
    <col min="14" max="14" width="5.6328125" bestFit="1" customWidth="1"/>
    <col min="15" max="15" width="6.6328125" bestFit="1" customWidth="1"/>
    <col min="16" max="16" width="7.54296875" bestFit="1" customWidth="1"/>
    <col min="17" max="17" width="5.36328125" bestFit="1" customWidth="1"/>
    <col min="18" max="18" width="7.08984375" bestFit="1" customWidth="1"/>
    <col min="19" max="19" width="8.54296875" bestFit="1" customWidth="1"/>
    <col min="20" max="20" width="9.08984375" bestFit="1" customWidth="1"/>
    <col min="21" max="21" width="6.54296875" bestFit="1" customWidth="1"/>
    <col min="22" max="22" width="8.81640625" bestFit="1" customWidth="1"/>
    <col min="23" max="23" width="13.36328125" bestFit="1" customWidth="1"/>
    <col min="24" max="24" width="8.81640625" bestFit="1" customWidth="1"/>
    <col min="25" max="25" width="9.81640625" bestFit="1" customWidth="1"/>
    <col min="26" max="26" width="10.26953125" bestFit="1" customWidth="1"/>
    <col min="27" max="27" width="8.453125" bestFit="1" customWidth="1"/>
    <col min="28" max="28" width="9" bestFit="1" customWidth="1"/>
    <col min="29" max="29" width="9.1796875" bestFit="1" customWidth="1"/>
    <col min="30" max="30" width="7.08984375" bestFit="1" customWidth="1"/>
    <col min="31" max="31" width="14.6328125" bestFit="1" customWidth="1"/>
    <col min="32" max="32" width="10.54296875" bestFit="1" customWidth="1"/>
    <col min="33" max="33" width="11" bestFit="1" customWidth="1"/>
    <col min="34" max="34" width="8.81640625" bestFit="1" customWidth="1"/>
    <col min="35" max="35" width="13.6328125" bestFit="1" customWidth="1"/>
    <col min="36" max="36" width="12.7265625" bestFit="1" customWidth="1"/>
    <col min="37" max="37" width="5.26953125" bestFit="1" customWidth="1"/>
    <col min="38" max="38" width="9.90625" bestFit="1" customWidth="1"/>
    <col min="39" max="39" width="7" bestFit="1" customWidth="1"/>
    <col min="40" max="40" width="12.1796875" bestFit="1" customWidth="1"/>
    <col min="41" max="41" width="11.6328125" bestFit="1" customWidth="1"/>
    <col min="42" max="42" width="13.6328125" bestFit="1" customWidth="1"/>
    <col min="43" max="43" width="12.7265625" bestFit="1" customWidth="1"/>
    <col min="44" max="44" width="10.08984375" bestFit="1" customWidth="1"/>
    <col min="45" max="45" width="6" bestFit="1" customWidth="1"/>
    <col min="46" max="46" width="12.08984375" bestFit="1" customWidth="1"/>
    <col min="47" max="47" width="5.36328125" bestFit="1" customWidth="1"/>
    <col min="48" max="48" width="8.26953125" bestFit="1" customWidth="1"/>
    <col min="49" max="49" width="7.54296875" bestFit="1" customWidth="1"/>
    <col min="50" max="50" width="10.90625" bestFit="1" customWidth="1"/>
    <col min="51" max="51" width="12.36328125" bestFit="1" customWidth="1"/>
    <col min="52" max="52" width="9.7265625" bestFit="1" customWidth="1"/>
    <col min="54" max="54" width="10.7265625" bestFit="1" customWidth="1"/>
  </cols>
  <sheetData>
    <row r="3" spans="1:2" x14ac:dyDescent="0.35">
      <c r="A3" s="4" t="s">
        <v>68</v>
      </c>
      <c r="B3" t="s">
        <v>70</v>
      </c>
    </row>
    <row r="4" spans="1:2" x14ac:dyDescent="0.35">
      <c r="A4" s="5" t="s">
        <v>67</v>
      </c>
      <c r="B4" s="6">
        <v>6.0999999999999999E-2</v>
      </c>
    </row>
    <row r="5" spans="1:2" x14ac:dyDescent="0.35">
      <c r="A5" s="5" t="s">
        <v>37</v>
      </c>
      <c r="B5" s="6">
        <v>-1.6E-2</v>
      </c>
    </row>
    <row r="6" spans="1:2" x14ac:dyDescent="0.35">
      <c r="A6" s="5" t="s">
        <v>35</v>
      </c>
      <c r="B6" s="6">
        <v>-1.7000000000000001E-2</v>
      </c>
    </row>
    <row r="7" spans="1:2" x14ac:dyDescent="0.35">
      <c r="A7" s="5" t="s">
        <v>50</v>
      </c>
      <c r="B7" s="6">
        <v>-0.02</v>
      </c>
    </row>
    <row r="8" spans="1:2" x14ac:dyDescent="0.35">
      <c r="A8" s="5" t="s">
        <v>57</v>
      </c>
      <c r="B8" s="6">
        <v>-2.1999999999999999E-2</v>
      </c>
    </row>
    <row r="9" spans="1:2" x14ac:dyDescent="0.35">
      <c r="A9" s="5" t="s">
        <v>22</v>
      </c>
      <c r="B9" s="6">
        <v>-3.1E-2</v>
      </c>
    </row>
    <row r="10" spans="1:2" x14ac:dyDescent="0.35">
      <c r="A10" s="5" t="s">
        <v>43</v>
      </c>
      <c r="B10" s="6">
        <v>-3.3000000000000002E-2</v>
      </c>
    </row>
    <row r="11" spans="1:2" x14ac:dyDescent="0.35">
      <c r="A11" s="5" t="s">
        <v>41</v>
      </c>
      <c r="B11" s="6">
        <v>-3.4000000000000002E-2</v>
      </c>
    </row>
    <row r="12" spans="1:2" x14ac:dyDescent="0.35">
      <c r="A12" s="5" t="s">
        <v>66</v>
      </c>
      <c r="B12" s="6">
        <v>-3.4000000000000002E-2</v>
      </c>
    </row>
    <row r="13" spans="1:2" x14ac:dyDescent="0.35">
      <c r="A13" s="5" t="s">
        <v>65</v>
      </c>
      <c r="B13" s="6">
        <v>-3.6999999999999998E-2</v>
      </c>
    </row>
    <row r="14" spans="1:2" x14ac:dyDescent="0.35">
      <c r="A14" s="5" t="s">
        <v>69</v>
      </c>
      <c r="B14" s="6">
        <v>-0.183</v>
      </c>
    </row>
    <row r="18" spans="1:2" x14ac:dyDescent="0.35">
      <c r="A18" s="4" t="s">
        <v>68</v>
      </c>
      <c r="B18" t="s">
        <v>71</v>
      </c>
    </row>
    <row r="19" spans="1:2" x14ac:dyDescent="0.35">
      <c r="A19" s="5" t="s">
        <v>67</v>
      </c>
      <c r="B19" s="6">
        <v>11081330</v>
      </c>
    </row>
    <row r="20" spans="1:2" x14ac:dyDescent="0.35">
      <c r="A20" s="5" t="s">
        <v>25</v>
      </c>
      <c r="B20" s="6">
        <v>1531714</v>
      </c>
    </row>
    <row r="21" spans="1:2" x14ac:dyDescent="0.35">
      <c r="A21" s="5" t="s">
        <v>20</v>
      </c>
      <c r="B21" s="6">
        <v>1415428</v>
      </c>
    </row>
    <row r="22" spans="1:2" x14ac:dyDescent="0.35">
      <c r="A22" s="5" t="s">
        <v>59</v>
      </c>
      <c r="B22" s="6">
        <v>1092650</v>
      </c>
    </row>
    <row r="23" spans="1:2" x14ac:dyDescent="0.35">
      <c r="A23" s="5" t="s">
        <v>49</v>
      </c>
      <c r="B23" s="6">
        <v>545354</v>
      </c>
    </row>
    <row r="24" spans="1:2" x14ac:dyDescent="0.35">
      <c r="A24" s="5" t="s">
        <v>26</v>
      </c>
      <c r="B24" s="6">
        <v>478016</v>
      </c>
    </row>
    <row r="25" spans="1:2" x14ac:dyDescent="0.35">
      <c r="A25" s="5" t="s">
        <v>54</v>
      </c>
      <c r="B25" s="6">
        <v>412347</v>
      </c>
    </row>
    <row r="26" spans="1:2" x14ac:dyDescent="0.35">
      <c r="A26" s="5" t="s">
        <v>62</v>
      </c>
      <c r="B26" s="6">
        <v>378838</v>
      </c>
    </row>
    <row r="27" spans="1:2" x14ac:dyDescent="0.35">
      <c r="A27" s="5" t="s">
        <v>29</v>
      </c>
      <c r="B27" s="6">
        <v>335243</v>
      </c>
    </row>
    <row r="28" spans="1:2" x14ac:dyDescent="0.35">
      <c r="A28" s="5" t="s">
        <v>38</v>
      </c>
      <c r="B28" s="6">
        <v>313123</v>
      </c>
    </row>
    <row r="29" spans="1:2" x14ac:dyDescent="0.35">
      <c r="A29" s="5" t="s">
        <v>69</v>
      </c>
      <c r="B29" s="6">
        <v>17584043</v>
      </c>
    </row>
    <row r="36" spans="1:4" x14ac:dyDescent="0.35">
      <c r="A36" s="4" t="s">
        <v>68</v>
      </c>
      <c r="B36" t="s">
        <v>75</v>
      </c>
    </row>
    <row r="37" spans="1:4" x14ac:dyDescent="0.35">
      <c r="A37" s="5" t="s">
        <v>72</v>
      </c>
      <c r="B37" s="6">
        <v>19</v>
      </c>
    </row>
    <row r="38" spans="1:4" x14ac:dyDescent="0.35">
      <c r="A38" s="5" t="s">
        <v>73</v>
      </c>
      <c r="B38" s="6">
        <v>32</v>
      </c>
    </row>
    <row r="39" spans="1:4" x14ac:dyDescent="0.35">
      <c r="A39" s="5" t="s">
        <v>74</v>
      </c>
      <c r="B39" s="6"/>
    </row>
    <row r="40" spans="1:4" x14ac:dyDescent="0.35">
      <c r="A40" s="5" t="s">
        <v>69</v>
      </c>
      <c r="B40" s="6">
        <v>51</v>
      </c>
    </row>
    <row r="46" spans="1:4" x14ac:dyDescent="0.35">
      <c r="A46" s="4" t="s">
        <v>68</v>
      </c>
      <c r="B46" t="s">
        <v>76</v>
      </c>
      <c r="C46" t="s">
        <v>77</v>
      </c>
      <c r="D46" t="s">
        <v>78</v>
      </c>
    </row>
    <row r="47" spans="1:4" x14ac:dyDescent="0.35">
      <c r="A47" s="5" t="s">
        <v>20</v>
      </c>
      <c r="B47" s="6">
        <v>3826000</v>
      </c>
      <c r="C47" s="6">
        <v>20967428</v>
      </c>
      <c r="D47" s="6">
        <v>309</v>
      </c>
    </row>
    <row r="48" spans="1:4" x14ac:dyDescent="0.35">
      <c r="A48" s="5" t="s">
        <v>25</v>
      </c>
      <c r="B48" s="6">
        <v>1597000</v>
      </c>
      <c r="C48" s="6">
        <v>10378714</v>
      </c>
      <c r="D48" s="6">
        <v>305</v>
      </c>
    </row>
    <row r="49" spans="1:4" x14ac:dyDescent="0.35">
      <c r="A49" s="5" t="s">
        <v>26</v>
      </c>
      <c r="B49" s="6">
        <v>581000</v>
      </c>
      <c r="C49" s="6">
        <v>5718016</v>
      </c>
      <c r="D49" s="6">
        <v>291</v>
      </c>
    </row>
    <row r="50" spans="1:4" x14ac:dyDescent="0.35">
      <c r="A50" s="5" t="s">
        <v>29</v>
      </c>
      <c r="B50" s="6">
        <v>850000</v>
      </c>
      <c r="C50" s="6">
        <v>7694243</v>
      </c>
      <c r="D50" s="6">
        <v>237</v>
      </c>
    </row>
    <row r="51" spans="1:4" x14ac:dyDescent="0.35">
      <c r="A51" s="5" t="s">
        <v>38</v>
      </c>
      <c r="B51" s="6">
        <v>618000</v>
      </c>
      <c r="C51" s="6">
        <v>6189123</v>
      </c>
      <c r="D51" s="6">
        <v>233</v>
      </c>
    </row>
    <row r="52" spans="1:4" x14ac:dyDescent="0.35">
      <c r="A52" s="5" t="s">
        <v>48</v>
      </c>
      <c r="B52" s="6">
        <v>939000</v>
      </c>
      <c r="C52" s="6">
        <v>11119014</v>
      </c>
      <c r="D52" s="6">
        <v>178</v>
      </c>
    </row>
    <row r="53" spans="1:4" x14ac:dyDescent="0.35">
      <c r="A53" s="5" t="s">
        <v>49</v>
      </c>
      <c r="B53" s="6">
        <v>552000</v>
      </c>
      <c r="C53" s="6">
        <v>5479354</v>
      </c>
      <c r="D53" s="6">
        <v>401</v>
      </c>
    </row>
    <row r="54" spans="1:4" x14ac:dyDescent="0.35">
      <c r="A54" s="5" t="s">
        <v>51</v>
      </c>
      <c r="B54" s="6">
        <v>664000</v>
      </c>
      <c r="C54" s="6">
        <v>7043046</v>
      </c>
      <c r="D54" s="6">
        <v>250</v>
      </c>
    </row>
    <row r="55" spans="1:4" x14ac:dyDescent="0.35">
      <c r="A55" s="5" t="s">
        <v>59</v>
      </c>
      <c r="B55" s="6">
        <v>1781000</v>
      </c>
      <c r="C55" s="6">
        <v>14801650</v>
      </c>
      <c r="D55" s="6">
        <v>271</v>
      </c>
    </row>
    <row r="56" spans="1:4" x14ac:dyDescent="0.35">
      <c r="A56" s="5" t="s">
        <v>67</v>
      </c>
      <c r="B56" s="6">
        <v>19304000</v>
      </c>
      <c r="C56" s="6">
        <v>183373330</v>
      </c>
      <c r="D56" s="6">
        <v>291</v>
      </c>
    </row>
    <row r="57" spans="1:4" x14ac:dyDescent="0.35">
      <c r="A57" s="5" t="s">
        <v>69</v>
      </c>
      <c r="B57" s="6">
        <v>30712000</v>
      </c>
      <c r="C57" s="6">
        <v>272763918</v>
      </c>
      <c r="D57" s="6">
        <v>2766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73D0-2721-4002-BBD2-6BB20DD81066}">
  <dimension ref="A1:Q33"/>
  <sheetViews>
    <sheetView showGridLines="0" tabSelected="1" zoomScale="55" workbookViewId="0">
      <selection activeCell="R9" sqref="R9"/>
    </sheetView>
  </sheetViews>
  <sheetFormatPr defaultRowHeight="14.5" x14ac:dyDescent="0.35"/>
  <sheetData>
    <row r="1" spans="1:17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041A-3E4A-40DC-9CAD-7E695C86C514}">
  <dimension ref="A1:P53"/>
  <sheetViews>
    <sheetView topLeftCell="A2" workbookViewId="0">
      <selection sqref="A1:P53"/>
    </sheetView>
  </sheetViews>
  <sheetFormatPr defaultRowHeight="14.5" x14ac:dyDescent="0.35"/>
  <cols>
    <col min="2" max="3" width="21.453125" customWidth="1"/>
    <col min="4" max="4" width="32.7265625" customWidth="1"/>
    <col min="5" max="5" width="42.1796875" customWidth="1"/>
    <col min="6" max="6" width="39.26953125" customWidth="1"/>
    <col min="7" max="7" width="41.90625" customWidth="1"/>
    <col min="8" max="8" width="41.7265625" customWidth="1"/>
    <col min="9" max="9" width="20.08984375" customWidth="1"/>
    <col min="10" max="10" width="28.81640625" customWidth="1"/>
    <col min="11" max="11" width="31.7265625" customWidth="1"/>
    <col min="12" max="12" width="30" customWidth="1"/>
    <col min="13" max="14" width="25.90625" customWidth="1"/>
    <col min="15" max="15" width="37.1796875" customWidth="1"/>
    <col min="16" max="16" width="26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>
        <v>0.14599999999999999</v>
      </c>
      <c r="C2" s="1">
        <v>0.10100000000000001</v>
      </c>
      <c r="D2" s="1">
        <v>-4.4999999999999998E-2</v>
      </c>
      <c r="E2">
        <v>215000</v>
      </c>
      <c r="F2">
        <v>2545000</v>
      </c>
      <c r="G2">
        <v>165534</v>
      </c>
      <c r="H2">
        <v>2710534</v>
      </c>
      <c r="I2">
        <v>1260.7134880000001</v>
      </c>
      <c r="J2">
        <v>152206</v>
      </c>
      <c r="K2" s="2">
        <v>310</v>
      </c>
      <c r="L2" t="b">
        <v>0</v>
      </c>
      <c r="M2">
        <v>799176</v>
      </c>
      <c r="N2">
        <v>910775</v>
      </c>
      <c r="O2">
        <v>111599</v>
      </c>
      <c r="P2">
        <v>989855</v>
      </c>
    </row>
    <row r="3" spans="1:16" x14ac:dyDescent="0.35">
      <c r="A3" t="s">
        <v>17</v>
      </c>
      <c r="B3" s="1">
        <v>0.19900000000000001</v>
      </c>
      <c r="C3" s="1">
        <v>0.14899999999999999</v>
      </c>
      <c r="D3" s="3">
        <v>-0.05</v>
      </c>
      <c r="E3">
        <v>36000</v>
      </c>
      <c r="F3">
        <v>390000</v>
      </c>
      <c r="G3">
        <v>17995</v>
      </c>
      <c r="H3">
        <v>407995</v>
      </c>
      <c r="I3">
        <v>1133.319444</v>
      </c>
      <c r="J3">
        <v>16205</v>
      </c>
      <c r="K3" s="2">
        <v>750</v>
      </c>
      <c r="L3" t="b">
        <v>1</v>
      </c>
      <c r="M3">
        <v>122334</v>
      </c>
      <c r="N3">
        <v>166625</v>
      </c>
      <c r="O3">
        <v>44291</v>
      </c>
      <c r="P3">
        <v>88966</v>
      </c>
    </row>
    <row r="4" spans="1:16" x14ac:dyDescent="0.35">
      <c r="A4" t="s">
        <v>18</v>
      </c>
      <c r="B4" s="1">
        <v>0.16900000000000001</v>
      </c>
      <c r="C4" s="1">
        <v>0.108</v>
      </c>
      <c r="D4" s="1">
        <v>-6.0999999999999999E-2</v>
      </c>
      <c r="E4">
        <v>410000</v>
      </c>
      <c r="F4">
        <v>3288000</v>
      </c>
      <c r="G4">
        <v>179445</v>
      </c>
      <c r="H4">
        <v>3467445</v>
      </c>
      <c r="I4">
        <v>845.71829270000001</v>
      </c>
      <c r="J4">
        <v>124346</v>
      </c>
      <c r="K4" s="2">
        <v>230</v>
      </c>
      <c r="L4" t="b">
        <v>1</v>
      </c>
      <c r="M4">
        <v>1201770</v>
      </c>
      <c r="N4">
        <v>1716198</v>
      </c>
      <c r="O4">
        <v>514428</v>
      </c>
      <c r="P4">
        <v>1175624</v>
      </c>
    </row>
    <row r="5" spans="1:16" x14ac:dyDescent="0.35">
      <c r="A5" t="s">
        <v>19</v>
      </c>
      <c r="B5" s="1">
        <v>0.17499999999999999</v>
      </c>
      <c r="C5" s="1">
        <v>9.5000000000000001E-2</v>
      </c>
      <c r="D5" s="3">
        <v>-0.08</v>
      </c>
      <c r="E5">
        <v>234000</v>
      </c>
      <c r="F5">
        <v>1365000</v>
      </c>
      <c r="G5">
        <v>63357</v>
      </c>
      <c r="H5">
        <v>1428357</v>
      </c>
      <c r="I5">
        <v>610.40897440000003</v>
      </c>
      <c r="J5">
        <v>56843</v>
      </c>
      <c r="K5" s="2">
        <v>306</v>
      </c>
      <c r="L5" t="b">
        <v>1</v>
      </c>
      <c r="M5">
        <v>556851</v>
      </c>
      <c r="N5">
        <v>920194</v>
      </c>
      <c r="O5">
        <v>363343</v>
      </c>
      <c r="P5">
        <v>606146</v>
      </c>
    </row>
    <row r="6" spans="1:16" x14ac:dyDescent="0.35">
      <c r="A6" t="s">
        <v>20</v>
      </c>
      <c r="B6" s="1">
        <v>0.185</v>
      </c>
      <c r="C6" s="1">
        <v>8.5999999999999993E-2</v>
      </c>
      <c r="D6" s="1">
        <v>-9.9000000000000005E-2</v>
      </c>
      <c r="E6">
        <v>3826000</v>
      </c>
      <c r="F6">
        <v>19552000</v>
      </c>
      <c r="G6">
        <v>1415428</v>
      </c>
      <c r="H6">
        <v>20967428</v>
      </c>
      <c r="I6">
        <v>548.02477780000004</v>
      </c>
      <c r="J6">
        <v>1239893</v>
      </c>
      <c r="K6" s="2">
        <v>309</v>
      </c>
      <c r="L6" t="b">
        <v>1</v>
      </c>
      <c r="M6">
        <v>7755381</v>
      </c>
      <c r="N6">
        <v>11843081</v>
      </c>
      <c r="O6">
        <v>4087700</v>
      </c>
      <c r="P6">
        <v>5829777</v>
      </c>
    </row>
    <row r="7" spans="1:16" x14ac:dyDescent="0.35">
      <c r="A7" t="s">
        <v>21</v>
      </c>
      <c r="B7" s="1">
        <v>0.159</v>
      </c>
      <c r="C7" s="1">
        <v>8.1000000000000003E-2</v>
      </c>
      <c r="D7" s="1">
        <v>-7.8E-2</v>
      </c>
      <c r="E7">
        <v>419000</v>
      </c>
      <c r="F7">
        <v>2949000</v>
      </c>
      <c r="G7">
        <v>108311</v>
      </c>
      <c r="H7">
        <v>3057311</v>
      </c>
      <c r="I7">
        <v>729.66849639999998</v>
      </c>
      <c r="J7">
        <v>67062</v>
      </c>
      <c r="K7" s="2">
        <v>318</v>
      </c>
      <c r="L7" t="b">
        <v>1</v>
      </c>
      <c r="M7">
        <v>783420</v>
      </c>
      <c r="N7">
        <v>1375264</v>
      </c>
      <c r="O7">
        <v>591844</v>
      </c>
      <c r="P7">
        <v>820234</v>
      </c>
    </row>
    <row r="8" spans="1:16" x14ac:dyDescent="0.35">
      <c r="A8" t="s">
        <v>22</v>
      </c>
      <c r="B8" s="1">
        <v>9.0999999999999998E-2</v>
      </c>
      <c r="C8" s="3">
        <v>0.06</v>
      </c>
      <c r="D8" s="1">
        <v>-3.1E-2</v>
      </c>
      <c r="E8">
        <v>110000</v>
      </c>
      <c r="F8">
        <v>2148000</v>
      </c>
      <c r="G8">
        <v>102917</v>
      </c>
      <c r="H8">
        <v>2250917</v>
      </c>
      <c r="I8">
        <v>2046.288182</v>
      </c>
      <c r="J8">
        <v>80759</v>
      </c>
      <c r="K8" s="2">
        <v>357</v>
      </c>
      <c r="L8" t="b">
        <v>1</v>
      </c>
      <c r="N8">
        <v>761137</v>
      </c>
      <c r="P8">
        <v>644136</v>
      </c>
    </row>
    <row r="9" spans="1:16" x14ac:dyDescent="0.35">
      <c r="A9" t="s">
        <v>23</v>
      </c>
      <c r="B9" s="1">
        <v>9.7000000000000003E-2</v>
      </c>
      <c r="C9" s="1">
        <v>5.8999999999999997E-2</v>
      </c>
      <c r="D9" s="1">
        <v>-3.7999999999999999E-2</v>
      </c>
      <c r="E9">
        <v>35000</v>
      </c>
      <c r="F9">
        <v>564000</v>
      </c>
      <c r="G9">
        <v>25379</v>
      </c>
      <c r="H9">
        <v>589379</v>
      </c>
      <c r="I9">
        <v>1683.94</v>
      </c>
      <c r="J9">
        <v>21467</v>
      </c>
      <c r="K9" s="2">
        <v>330</v>
      </c>
      <c r="L9" t="b">
        <v>1</v>
      </c>
      <c r="M9">
        <v>223324</v>
      </c>
      <c r="N9">
        <v>236702</v>
      </c>
      <c r="O9">
        <v>13378</v>
      </c>
      <c r="P9">
        <v>186835</v>
      </c>
    </row>
    <row r="10" spans="1:16" x14ac:dyDescent="0.35">
      <c r="A10" t="s">
        <v>24</v>
      </c>
      <c r="B10" s="1">
        <v>7.5999999999999998E-2</v>
      </c>
      <c r="C10" s="1">
        <v>3.7999999999999999E-2</v>
      </c>
      <c r="D10" s="1">
        <v>-3.7999999999999999E-2</v>
      </c>
      <c r="E10">
        <v>25000</v>
      </c>
      <c r="F10">
        <v>388000</v>
      </c>
      <c r="G10">
        <v>17666</v>
      </c>
      <c r="H10">
        <v>405666</v>
      </c>
      <c r="I10">
        <v>1622.664</v>
      </c>
      <c r="J10">
        <v>1224</v>
      </c>
      <c r="K10" s="2">
        <v>183</v>
      </c>
      <c r="L10" t="b">
        <v>1</v>
      </c>
      <c r="M10">
        <v>235786</v>
      </c>
      <c r="N10">
        <v>255491</v>
      </c>
      <c r="O10">
        <v>19705</v>
      </c>
      <c r="P10">
        <v>90492</v>
      </c>
    </row>
    <row r="11" spans="1:16" x14ac:dyDescent="0.35">
      <c r="A11" t="s">
        <v>25</v>
      </c>
      <c r="B11" s="1">
        <v>0.21299999999999999</v>
      </c>
      <c r="C11" s="1">
        <v>0.13300000000000001</v>
      </c>
      <c r="D11" s="3">
        <v>-0.08</v>
      </c>
      <c r="E11">
        <v>1597000</v>
      </c>
      <c r="F11">
        <v>8847000</v>
      </c>
      <c r="G11">
        <v>1531714</v>
      </c>
      <c r="H11">
        <v>10378714</v>
      </c>
      <c r="I11">
        <v>649.88816529999997</v>
      </c>
      <c r="J11">
        <v>1428712</v>
      </c>
      <c r="K11" s="2">
        <v>305</v>
      </c>
      <c r="L11" t="b">
        <v>0</v>
      </c>
      <c r="M11">
        <v>3104996</v>
      </c>
      <c r="N11">
        <v>3644673</v>
      </c>
      <c r="O11">
        <v>539677</v>
      </c>
      <c r="P11">
        <v>4149593</v>
      </c>
    </row>
    <row r="12" spans="1:16" x14ac:dyDescent="0.35">
      <c r="A12" t="s">
        <v>26</v>
      </c>
      <c r="B12" s="1">
        <v>0.19700000000000001</v>
      </c>
      <c r="C12" s="1">
        <v>0.13900000000000001</v>
      </c>
      <c r="D12" s="1">
        <v>-5.8000000000000003E-2</v>
      </c>
      <c r="E12">
        <v>581000</v>
      </c>
      <c r="F12">
        <v>5240000</v>
      </c>
      <c r="G12">
        <v>478016</v>
      </c>
      <c r="H12">
        <v>5718016</v>
      </c>
      <c r="I12">
        <v>984.16798619999997</v>
      </c>
      <c r="J12">
        <v>427353</v>
      </c>
      <c r="K12" s="2">
        <v>291</v>
      </c>
      <c r="L12" t="b">
        <v>0</v>
      </c>
      <c r="M12">
        <v>1535090</v>
      </c>
      <c r="N12">
        <v>1782301</v>
      </c>
      <c r="O12">
        <v>247211</v>
      </c>
      <c r="P12">
        <v>1574058</v>
      </c>
    </row>
    <row r="13" spans="1:16" x14ac:dyDescent="0.35">
      <c r="A13" t="s">
        <v>27</v>
      </c>
      <c r="B13" s="1">
        <v>7.9000000000000001E-2</v>
      </c>
      <c r="C13" s="3">
        <v>0.04</v>
      </c>
      <c r="D13" s="1">
        <v>-3.9E-2</v>
      </c>
      <c r="E13">
        <v>54000</v>
      </c>
      <c r="F13">
        <v>867000</v>
      </c>
      <c r="G13">
        <v>13313</v>
      </c>
      <c r="H13">
        <v>880313</v>
      </c>
      <c r="I13">
        <v>1630.209259</v>
      </c>
      <c r="J13">
        <v>10958</v>
      </c>
      <c r="K13" s="2">
        <v>270</v>
      </c>
      <c r="L13" t="b">
        <v>1</v>
      </c>
      <c r="M13">
        <v>288357</v>
      </c>
      <c r="N13">
        <v>341200</v>
      </c>
      <c r="O13">
        <v>52843</v>
      </c>
      <c r="P13">
        <v>252514</v>
      </c>
    </row>
    <row r="14" spans="1:16" x14ac:dyDescent="0.35">
      <c r="A14" t="s">
        <v>28</v>
      </c>
      <c r="B14" s="1">
        <v>0.17699999999999999</v>
      </c>
      <c r="C14" s="3">
        <v>0.11</v>
      </c>
      <c r="D14" s="1">
        <v>-6.7000000000000004E-2</v>
      </c>
      <c r="E14">
        <v>109000</v>
      </c>
      <c r="F14">
        <v>836000</v>
      </c>
      <c r="G14">
        <v>94270</v>
      </c>
      <c r="H14">
        <v>930270</v>
      </c>
      <c r="I14">
        <v>853.4587156</v>
      </c>
      <c r="J14">
        <v>82802</v>
      </c>
      <c r="K14" s="2">
        <v>265</v>
      </c>
      <c r="L14" t="b">
        <v>0</v>
      </c>
      <c r="M14">
        <v>238150</v>
      </c>
      <c r="N14">
        <v>293905</v>
      </c>
      <c r="O14">
        <v>55755</v>
      </c>
      <c r="P14">
        <v>294284</v>
      </c>
    </row>
    <row r="15" spans="1:16" x14ac:dyDescent="0.35">
      <c r="A15" t="s">
        <v>29</v>
      </c>
      <c r="B15" s="1">
        <v>0.13800000000000001</v>
      </c>
      <c r="C15" s="1">
        <v>7.0999999999999994E-2</v>
      </c>
      <c r="D15" s="1">
        <v>-6.7000000000000004E-2</v>
      </c>
      <c r="E15">
        <v>850000</v>
      </c>
      <c r="F15">
        <v>7359000</v>
      </c>
      <c r="G15">
        <v>335243</v>
      </c>
      <c r="H15">
        <v>7694243</v>
      </c>
      <c r="I15">
        <v>905.20505879999996</v>
      </c>
      <c r="J15">
        <v>259701</v>
      </c>
      <c r="K15" s="2">
        <v>237</v>
      </c>
      <c r="L15" t="b">
        <v>1</v>
      </c>
      <c r="M15">
        <v>2626943</v>
      </c>
      <c r="N15">
        <v>3117939</v>
      </c>
      <c r="O15">
        <v>490996</v>
      </c>
      <c r="P15">
        <v>2118300</v>
      </c>
    </row>
    <row r="16" spans="1:16" x14ac:dyDescent="0.35">
      <c r="A16" t="s">
        <v>30</v>
      </c>
      <c r="B16" s="1">
        <v>0.14799999999999999</v>
      </c>
      <c r="C16" s="1">
        <v>9.6000000000000002E-2</v>
      </c>
      <c r="D16" s="1">
        <v>-5.1999999999999998E-2</v>
      </c>
      <c r="E16">
        <v>339000</v>
      </c>
      <c r="F16">
        <v>3825000</v>
      </c>
      <c r="G16">
        <v>168884</v>
      </c>
      <c r="H16">
        <v>3993884</v>
      </c>
      <c r="I16">
        <v>1178.1368729999999</v>
      </c>
      <c r="J16">
        <v>139437</v>
      </c>
      <c r="K16" s="2">
        <v>259</v>
      </c>
      <c r="L16" t="b">
        <v>1</v>
      </c>
      <c r="M16">
        <v>1120674</v>
      </c>
      <c r="N16">
        <v>1489805</v>
      </c>
      <c r="O16">
        <v>369131</v>
      </c>
      <c r="P16">
        <v>1181014</v>
      </c>
    </row>
    <row r="17" spans="1:16" x14ac:dyDescent="0.35">
      <c r="A17" t="s">
        <v>31</v>
      </c>
      <c r="B17" s="1">
        <v>9.2999999999999999E-2</v>
      </c>
      <c r="C17" s="3">
        <v>0.05</v>
      </c>
      <c r="D17" s="1">
        <v>-4.2999999999999997E-2</v>
      </c>
      <c r="E17">
        <v>132000</v>
      </c>
      <c r="F17">
        <v>1862000</v>
      </c>
      <c r="G17">
        <v>48949</v>
      </c>
      <c r="H17">
        <v>1910949</v>
      </c>
      <c r="I17">
        <v>1447.6886360000001</v>
      </c>
      <c r="J17">
        <v>42595</v>
      </c>
      <c r="K17" s="2">
        <v>307</v>
      </c>
      <c r="L17" t="b">
        <v>1</v>
      </c>
      <c r="M17">
        <v>493515</v>
      </c>
      <c r="N17">
        <v>619055</v>
      </c>
      <c r="O17">
        <v>125540</v>
      </c>
      <c r="P17">
        <v>587780</v>
      </c>
    </row>
    <row r="18" spans="1:16" x14ac:dyDescent="0.35">
      <c r="A18" t="s">
        <v>32</v>
      </c>
      <c r="B18" s="1">
        <v>0.13900000000000001</v>
      </c>
      <c r="C18" s="1">
        <v>9.0999999999999998E-2</v>
      </c>
      <c r="D18" s="1">
        <v>-4.8000000000000001E-2</v>
      </c>
      <c r="E18">
        <v>137000</v>
      </c>
      <c r="F18">
        <v>1659000</v>
      </c>
      <c r="G18">
        <v>89566</v>
      </c>
      <c r="H18">
        <v>1748566</v>
      </c>
      <c r="I18">
        <v>1276.3255469999999</v>
      </c>
      <c r="J18">
        <v>75815</v>
      </c>
      <c r="K18" s="2">
        <v>247</v>
      </c>
      <c r="L18" t="b">
        <v>0</v>
      </c>
      <c r="M18">
        <v>378160</v>
      </c>
      <c r="N18">
        <v>421638</v>
      </c>
      <c r="O18">
        <v>43478</v>
      </c>
      <c r="P18">
        <v>499753</v>
      </c>
    </row>
    <row r="19" spans="1:16" x14ac:dyDescent="0.35">
      <c r="A19" t="s">
        <v>33</v>
      </c>
      <c r="B19" s="1">
        <v>0.153</v>
      </c>
      <c r="C19" s="3">
        <v>0.06</v>
      </c>
      <c r="D19" s="1">
        <v>-9.2999999999999999E-2</v>
      </c>
      <c r="E19">
        <v>404000</v>
      </c>
      <c r="F19">
        <v>2316000</v>
      </c>
      <c r="G19">
        <v>74640</v>
      </c>
      <c r="H19">
        <v>2390640</v>
      </c>
      <c r="I19">
        <v>591.7425743</v>
      </c>
      <c r="J19">
        <v>56488</v>
      </c>
      <c r="K19" s="2">
        <v>258</v>
      </c>
      <c r="L19" t="b">
        <v>1</v>
      </c>
      <c r="M19">
        <v>606805</v>
      </c>
      <c r="N19">
        <v>1220788</v>
      </c>
      <c r="O19">
        <v>613983</v>
      </c>
      <c r="P19">
        <v>881938</v>
      </c>
    </row>
    <row r="20" spans="1:16" x14ac:dyDescent="0.35">
      <c r="A20" t="s">
        <v>34</v>
      </c>
      <c r="B20" s="1">
        <v>0.17799999999999999</v>
      </c>
      <c r="C20" s="1">
        <v>0.11899999999999999</v>
      </c>
      <c r="D20" s="1">
        <v>-5.8999999999999997E-2</v>
      </c>
      <c r="E20">
        <v>269000</v>
      </c>
      <c r="F20">
        <v>2295000</v>
      </c>
      <c r="G20">
        <v>184403</v>
      </c>
      <c r="H20">
        <v>2479403</v>
      </c>
      <c r="I20">
        <v>921.71115239999995</v>
      </c>
      <c r="J20">
        <v>170806</v>
      </c>
      <c r="K20" s="2">
        <v>362</v>
      </c>
      <c r="L20" t="b">
        <v>1</v>
      </c>
      <c r="M20">
        <v>1019787</v>
      </c>
      <c r="N20">
        <v>1328708</v>
      </c>
      <c r="O20">
        <v>308921</v>
      </c>
      <c r="P20">
        <v>817272</v>
      </c>
    </row>
    <row r="21" spans="1:16" x14ac:dyDescent="0.35">
      <c r="A21" t="s">
        <v>35</v>
      </c>
      <c r="B21" s="1">
        <v>0.10100000000000001</v>
      </c>
      <c r="C21" s="1">
        <v>8.4000000000000005E-2</v>
      </c>
      <c r="D21" s="1">
        <v>-1.7000000000000001E-2</v>
      </c>
      <c r="E21">
        <v>22000</v>
      </c>
      <c r="F21">
        <v>702000</v>
      </c>
      <c r="G21">
        <v>75240</v>
      </c>
      <c r="H21">
        <v>777240</v>
      </c>
      <c r="I21">
        <v>3532.909091</v>
      </c>
      <c r="J21">
        <v>63896</v>
      </c>
      <c r="K21" s="2">
        <v>342</v>
      </c>
      <c r="L21" t="b">
        <v>0</v>
      </c>
      <c r="N21">
        <v>273160</v>
      </c>
      <c r="P21">
        <v>315160</v>
      </c>
    </row>
    <row r="22" spans="1:16" x14ac:dyDescent="0.35">
      <c r="A22" t="s">
        <v>36</v>
      </c>
      <c r="B22" s="1">
        <v>0.113</v>
      </c>
      <c r="C22" s="1">
        <v>6.6000000000000003E-2</v>
      </c>
      <c r="D22" s="1">
        <v>-4.7E-2</v>
      </c>
      <c r="E22">
        <v>278000</v>
      </c>
      <c r="F22">
        <v>3700000</v>
      </c>
      <c r="G22">
        <v>135208</v>
      </c>
      <c r="H22">
        <v>3835208</v>
      </c>
      <c r="I22">
        <v>1379.5712229999999</v>
      </c>
      <c r="J22">
        <v>100844</v>
      </c>
      <c r="K22" s="2">
        <v>243</v>
      </c>
      <c r="L22" t="b">
        <v>1</v>
      </c>
      <c r="M22">
        <v>856297</v>
      </c>
      <c r="N22">
        <v>1252304</v>
      </c>
      <c r="O22">
        <v>396007</v>
      </c>
      <c r="P22">
        <v>960848</v>
      </c>
    </row>
    <row r="23" spans="1:16" x14ac:dyDescent="0.35">
      <c r="A23" t="s">
        <v>37</v>
      </c>
      <c r="B23" s="1">
        <v>4.3999999999999997E-2</v>
      </c>
      <c r="C23" s="1">
        <v>2.8000000000000001E-2</v>
      </c>
      <c r="D23" s="1">
        <v>-1.6E-2</v>
      </c>
      <c r="E23">
        <v>107000</v>
      </c>
      <c r="F23">
        <v>4232000</v>
      </c>
      <c r="G23">
        <v>207121</v>
      </c>
      <c r="H23">
        <v>4439121</v>
      </c>
      <c r="I23">
        <v>4148.7112150000003</v>
      </c>
      <c r="J23">
        <v>157751</v>
      </c>
      <c r="K23" s="2">
        <v>190</v>
      </c>
      <c r="L23" t="b">
        <v>1</v>
      </c>
      <c r="M23">
        <v>1296359</v>
      </c>
      <c r="N23">
        <v>1684328</v>
      </c>
      <c r="O23">
        <v>387969</v>
      </c>
      <c r="P23">
        <v>1252277</v>
      </c>
    </row>
    <row r="24" spans="1:16" x14ac:dyDescent="0.35">
      <c r="A24" t="s">
        <v>38</v>
      </c>
      <c r="B24" s="1">
        <v>0.124</v>
      </c>
      <c r="C24" s="1">
        <v>6.0999999999999999E-2</v>
      </c>
      <c r="D24" s="1">
        <v>-6.3E-2</v>
      </c>
      <c r="E24">
        <v>618000</v>
      </c>
      <c r="F24">
        <v>5876000</v>
      </c>
      <c r="G24">
        <v>313123</v>
      </c>
      <c r="H24">
        <v>6189123</v>
      </c>
      <c r="I24">
        <v>1001.476214</v>
      </c>
      <c r="J24">
        <v>275080</v>
      </c>
      <c r="K24" s="2">
        <v>233</v>
      </c>
      <c r="L24" t="b">
        <v>1</v>
      </c>
      <c r="M24">
        <v>1912009</v>
      </c>
      <c r="N24">
        <v>2300958</v>
      </c>
      <c r="O24">
        <v>388949</v>
      </c>
      <c r="P24">
        <v>1947787</v>
      </c>
    </row>
    <row r="25" spans="1:16" x14ac:dyDescent="0.35">
      <c r="A25" t="s">
        <v>39</v>
      </c>
      <c r="B25" s="1">
        <v>9.0999999999999998E-2</v>
      </c>
      <c r="C25" s="1">
        <v>4.4999999999999998E-2</v>
      </c>
      <c r="D25" s="1">
        <v>-4.5999999999999999E-2</v>
      </c>
      <c r="E25">
        <v>250000</v>
      </c>
      <c r="F25">
        <v>3319000</v>
      </c>
      <c r="G25">
        <v>74060</v>
      </c>
      <c r="H25">
        <v>3393060</v>
      </c>
      <c r="I25">
        <v>1357.2239999999999</v>
      </c>
      <c r="J25">
        <v>47266</v>
      </c>
      <c r="K25" s="2">
        <v>203</v>
      </c>
      <c r="L25" t="b">
        <v>1</v>
      </c>
      <c r="M25">
        <v>873040</v>
      </c>
      <c r="N25">
        <v>1051509</v>
      </c>
      <c r="O25">
        <v>178469</v>
      </c>
      <c r="P25">
        <v>944222</v>
      </c>
    </row>
    <row r="26" spans="1:16" x14ac:dyDescent="0.35">
      <c r="A26" t="s">
        <v>40</v>
      </c>
      <c r="B26" s="1">
        <v>0.182</v>
      </c>
      <c r="C26" s="1">
        <v>0.127</v>
      </c>
      <c r="D26" s="1">
        <v>-5.5E-2</v>
      </c>
      <c r="E26">
        <v>161000</v>
      </c>
      <c r="F26">
        <v>1326000</v>
      </c>
      <c r="G26">
        <v>77747</v>
      </c>
      <c r="H26">
        <v>1403747</v>
      </c>
      <c r="I26">
        <v>871.89254659999995</v>
      </c>
      <c r="J26">
        <v>73246</v>
      </c>
      <c r="K26" s="2">
        <v>306</v>
      </c>
      <c r="L26" t="b">
        <v>0</v>
      </c>
      <c r="M26">
        <v>637229</v>
      </c>
      <c r="N26">
        <v>693869</v>
      </c>
      <c r="O26">
        <v>56640</v>
      </c>
      <c r="P26">
        <v>571699</v>
      </c>
    </row>
    <row r="27" spans="1:16" x14ac:dyDescent="0.35">
      <c r="A27" t="s">
        <v>41</v>
      </c>
      <c r="B27" s="1">
        <v>0.13200000000000001</v>
      </c>
      <c r="C27" s="1">
        <v>9.8000000000000004E-2</v>
      </c>
      <c r="D27" s="1">
        <v>-3.4000000000000002E-2</v>
      </c>
      <c r="E27">
        <v>203000</v>
      </c>
      <c r="F27">
        <v>3389000</v>
      </c>
      <c r="G27">
        <v>252044</v>
      </c>
      <c r="H27">
        <v>3641044</v>
      </c>
      <c r="I27">
        <v>1793.6177339999999</v>
      </c>
      <c r="J27">
        <v>225878</v>
      </c>
      <c r="K27" s="2">
        <v>315</v>
      </c>
      <c r="L27" t="b">
        <v>0</v>
      </c>
      <c r="M27">
        <v>846084</v>
      </c>
      <c r="N27">
        <v>967284</v>
      </c>
      <c r="O27">
        <v>121200</v>
      </c>
      <c r="P27">
        <v>1163543</v>
      </c>
    </row>
    <row r="28" spans="1:16" x14ac:dyDescent="0.35">
      <c r="A28" t="s">
        <v>42</v>
      </c>
      <c r="B28" s="1">
        <v>0.17299999999999999</v>
      </c>
      <c r="C28" s="1">
        <v>0.11600000000000001</v>
      </c>
      <c r="D28" s="1">
        <v>-5.7000000000000002E-2</v>
      </c>
      <c r="E28">
        <v>58000</v>
      </c>
      <c r="F28">
        <v>510000</v>
      </c>
      <c r="G28">
        <v>51758</v>
      </c>
      <c r="H28">
        <v>561758</v>
      </c>
      <c r="I28">
        <v>968.54827590000002</v>
      </c>
      <c r="J28">
        <v>44091</v>
      </c>
      <c r="K28" s="2">
        <v>306</v>
      </c>
      <c r="L28" t="b">
        <v>1</v>
      </c>
      <c r="M28">
        <v>148974</v>
      </c>
      <c r="N28">
        <v>224048</v>
      </c>
      <c r="O28">
        <v>75074</v>
      </c>
      <c r="P28">
        <v>209389</v>
      </c>
    </row>
    <row r="29" spans="1:16" x14ac:dyDescent="0.35">
      <c r="A29" t="s">
        <v>43</v>
      </c>
      <c r="B29" s="1">
        <v>0.115</v>
      </c>
      <c r="C29" s="1">
        <v>8.2000000000000003E-2</v>
      </c>
      <c r="D29" s="1">
        <v>-3.3000000000000002E-2</v>
      </c>
      <c r="E29">
        <v>62000</v>
      </c>
      <c r="F29">
        <v>1100000</v>
      </c>
      <c r="G29">
        <v>80213</v>
      </c>
      <c r="H29">
        <v>1180213</v>
      </c>
      <c r="I29">
        <v>1903.5693550000001</v>
      </c>
      <c r="J29">
        <v>72091</v>
      </c>
      <c r="K29" s="2">
        <v>296</v>
      </c>
      <c r="L29" t="b">
        <v>0</v>
      </c>
      <c r="M29">
        <v>244600</v>
      </c>
      <c r="N29">
        <v>242702</v>
      </c>
      <c r="O29">
        <v>-1898</v>
      </c>
      <c r="P29">
        <v>322796</v>
      </c>
    </row>
    <row r="30" spans="1:16" x14ac:dyDescent="0.35">
      <c r="A30" t="s">
        <v>44</v>
      </c>
      <c r="B30" s="1">
        <v>0.22600000000000001</v>
      </c>
      <c r="C30" s="1">
        <v>0.123</v>
      </c>
      <c r="D30" s="1">
        <v>-0.10299999999999999</v>
      </c>
      <c r="E30">
        <v>294000</v>
      </c>
      <c r="F30">
        <v>1505000</v>
      </c>
      <c r="G30">
        <v>79876</v>
      </c>
      <c r="H30">
        <v>1584876</v>
      </c>
      <c r="I30">
        <v>539.07346940000002</v>
      </c>
      <c r="J30">
        <v>71472</v>
      </c>
      <c r="K30" s="2">
        <v>268</v>
      </c>
      <c r="L30" t="b">
        <v>1</v>
      </c>
      <c r="M30">
        <v>332560</v>
      </c>
      <c r="N30">
        <v>614298</v>
      </c>
      <c r="O30">
        <v>281738</v>
      </c>
      <c r="P30">
        <v>471747</v>
      </c>
    </row>
    <row r="31" spans="1:16" x14ac:dyDescent="0.35">
      <c r="A31" t="s">
        <v>45</v>
      </c>
      <c r="B31" s="1">
        <v>0.111</v>
      </c>
      <c r="C31" s="1">
        <v>6.3E-2</v>
      </c>
      <c r="D31" s="1">
        <v>-4.8000000000000001E-2</v>
      </c>
      <c r="E31">
        <v>63000</v>
      </c>
      <c r="F31">
        <v>853000</v>
      </c>
      <c r="G31">
        <v>49114</v>
      </c>
      <c r="H31">
        <v>902114</v>
      </c>
      <c r="I31">
        <v>1431.9269839999999</v>
      </c>
      <c r="J31">
        <v>31151</v>
      </c>
      <c r="K31" s="2">
        <v>261</v>
      </c>
      <c r="L31" t="b">
        <v>1</v>
      </c>
      <c r="M31">
        <v>127082</v>
      </c>
      <c r="N31">
        <v>189429</v>
      </c>
      <c r="O31">
        <v>62347</v>
      </c>
      <c r="P31">
        <v>275803</v>
      </c>
    </row>
    <row r="32" spans="1:16" x14ac:dyDescent="0.35">
      <c r="A32" t="s">
        <v>46</v>
      </c>
      <c r="B32" s="1">
        <v>0.13200000000000001</v>
      </c>
      <c r="C32" s="1">
        <v>8.6999999999999994E-2</v>
      </c>
      <c r="D32" s="1">
        <v>-4.4999999999999998E-2</v>
      </c>
      <c r="E32">
        <v>398000</v>
      </c>
      <c r="F32">
        <v>5450000</v>
      </c>
      <c r="G32">
        <v>249395</v>
      </c>
      <c r="H32">
        <v>5699395</v>
      </c>
      <c r="I32">
        <v>1432.0087940000001</v>
      </c>
      <c r="J32">
        <v>205242</v>
      </c>
      <c r="K32" s="2">
        <v>322</v>
      </c>
      <c r="L32" t="b">
        <v>1</v>
      </c>
      <c r="M32">
        <v>1283851</v>
      </c>
      <c r="N32">
        <v>1784529</v>
      </c>
      <c r="O32">
        <v>500678</v>
      </c>
      <c r="P32">
        <v>1528961</v>
      </c>
    </row>
    <row r="33" spans="1:16" x14ac:dyDescent="0.35">
      <c r="A33" t="s">
        <v>47</v>
      </c>
      <c r="B33" s="1">
        <v>0.19600000000000001</v>
      </c>
      <c r="C33" s="1">
        <v>0.109</v>
      </c>
      <c r="D33" s="1">
        <v>-8.6999999999999994E-2</v>
      </c>
      <c r="E33">
        <v>178000</v>
      </c>
      <c r="F33">
        <v>884000</v>
      </c>
      <c r="G33">
        <v>47497</v>
      </c>
      <c r="H33">
        <v>931497</v>
      </c>
      <c r="I33">
        <v>523.31292129999997</v>
      </c>
      <c r="J33">
        <v>32703</v>
      </c>
      <c r="K33" s="2">
        <v>212</v>
      </c>
      <c r="L33" t="b">
        <v>1</v>
      </c>
      <c r="M33">
        <v>457678</v>
      </c>
      <c r="N33">
        <v>766732</v>
      </c>
      <c r="O33">
        <v>309054</v>
      </c>
      <c r="P33">
        <v>385918</v>
      </c>
    </row>
    <row r="34" spans="1:16" x14ac:dyDescent="0.35">
      <c r="A34" t="s">
        <v>48</v>
      </c>
      <c r="B34" s="1">
        <v>0.11899999999999999</v>
      </c>
      <c r="C34" s="1">
        <v>7.0999999999999994E-2</v>
      </c>
      <c r="D34" s="1">
        <v>-4.8000000000000001E-2</v>
      </c>
      <c r="E34">
        <v>939000</v>
      </c>
      <c r="F34">
        <v>10895000</v>
      </c>
      <c r="G34">
        <v>224014</v>
      </c>
      <c r="H34">
        <v>11119014</v>
      </c>
      <c r="I34">
        <v>1184.133546</v>
      </c>
      <c r="J34">
        <v>123830</v>
      </c>
      <c r="K34" s="2">
        <v>178</v>
      </c>
      <c r="L34" t="b">
        <v>1</v>
      </c>
      <c r="M34">
        <v>5678417</v>
      </c>
      <c r="N34">
        <v>6431165</v>
      </c>
      <c r="O34">
        <v>752748</v>
      </c>
      <c r="P34">
        <v>3424666</v>
      </c>
    </row>
    <row r="35" spans="1:16" x14ac:dyDescent="0.35">
      <c r="A35" t="s">
        <v>49</v>
      </c>
      <c r="B35" s="1">
        <v>0.16800000000000001</v>
      </c>
      <c r="C35" s="1">
        <v>0.112</v>
      </c>
      <c r="D35" s="1">
        <v>-5.6000000000000001E-2</v>
      </c>
      <c r="E35">
        <v>552000</v>
      </c>
      <c r="F35">
        <v>4934000</v>
      </c>
      <c r="G35">
        <v>545354</v>
      </c>
      <c r="H35">
        <v>5479354</v>
      </c>
      <c r="I35">
        <v>992.63659419999999</v>
      </c>
      <c r="J35">
        <v>499178</v>
      </c>
      <c r="K35" s="2">
        <v>401</v>
      </c>
      <c r="L35" t="b">
        <v>0</v>
      </c>
      <c r="M35">
        <v>1595952</v>
      </c>
      <c r="N35">
        <v>2072282</v>
      </c>
      <c r="O35">
        <v>476330</v>
      </c>
      <c r="P35">
        <v>1823454</v>
      </c>
    </row>
    <row r="36" spans="1:16" x14ac:dyDescent="0.35">
      <c r="A36" t="s">
        <v>50</v>
      </c>
      <c r="B36" s="1">
        <v>9.8000000000000004E-2</v>
      </c>
      <c r="C36" s="1">
        <v>7.8E-2</v>
      </c>
      <c r="D36" s="3">
        <v>-0.02</v>
      </c>
      <c r="E36">
        <v>15000</v>
      </c>
      <c r="F36">
        <v>450000</v>
      </c>
      <c r="G36">
        <v>20536</v>
      </c>
      <c r="H36">
        <v>470536</v>
      </c>
      <c r="I36">
        <v>3136.9066670000002</v>
      </c>
      <c r="J36">
        <v>17630</v>
      </c>
      <c r="K36" s="2">
        <v>262</v>
      </c>
      <c r="L36" t="b">
        <v>1</v>
      </c>
      <c r="M36">
        <v>69980</v>
      </c>
      <c r="N36">
        <v>89763</v>
      </c>
      <c r="O36">
        <v>19783</v>
      </c>
      <c r="P36">
        <v>122294</v>
      </c>
    </row>
    <row r="37" spans="1:16" x14ac:dyDescent="0.35">
      <c r="A37" t="s">
        <v>51</v>
      </c>
      <c r="B37" s="1">
        <v>0.123</v>
      </c>
      <c r="C37" s="1">
        <v>6.5000000000000002E-2</v>
      </c>
      <c r="D37" s="1">
        <v>-5.8000000000000003E-2</v>
      </c>
      <c r="E37">
        <v>664000</v>
      </c>
      <c r="F37">
        <v>6831000</v>
      </c>
      <c r="G37">
        <v>212046</v>
      </c>
      <c r="H37">
        <v>7043046</v>
      </c>
      <c r="I37">
        <v>1060.699699</v>
      </c>
      <c r="J37">
        <v>174448</v>
      </c>
      <c r="K37" s="2">
        <v>250</v>
      </c>
      <c r="L37" t="b">
        <v>1</v>
      </c>
      <c r="M37">
        <v>2341481</v>
      </c>
      <c r="N37">
        <v>3003170</v>
      </c>
      <c r="O37">
        <v>661689</v>
      </c>
      <c r="P37">
        <v>2208504</v>
      </c>
    </row>
    <row r="38" spans="1:16" x14ac:dyDescent="0.35">
      <c r="A38" t="s">
        <v>52</v>
      </c>
      <c r="B38" s="1">
        <v>0.189</v>
      </c>
      <c r="C38" s="1">
        <v>0.13900000000000001</v>
      </c>
      <c r="D38" s="3">
        <v>-0.05</v>
      </c>
      <c r="E38">
        <v>192000</v>
      </c>
      <c r="F38">
        <v>1948000</v>
      </c>
      <c r="G38">
        <v>130178</v>
      </c>
      <c r="H38">
        <v>2078178</v>
      </c>
      <c r="I38">
        <v>1082.3843750000001</v>
      </c>
      <c r="J38">
        <v>113209</v>
      </c>
      <c r="K38" s="2">
        <v>298</v>
      </c>
      <c r="L38" t="b">
        <v>0</v>
      </c>
      <c r="M38">
        <v>790051</v>
      </c>
      <c r="N38">
        <v>788544</v>
      </c>
      <c r="O38">
        <v>-1507</v>
      </c>
      <c r="P38">
        <v>693677</v>
      </c>
    </row>
    <row r="39" spans="1:16" x14ac:dyDescent="0.35">
      <c r="A39" t="s">
        <v>53</v>
      </c>
      <c r="B39" s="1">
        <v>0.17100000000000001</v>
      </c>
      <c r="C39" s="3">
        <v>7.0000000000000007E-2</v>
      </c>
      <c r="D39" s="1">
        <v>-0.10100000000000001</v>
      </c>
      <c r="E39">
        <v>403000</v>
      </c>
      <c r="F39">
        <v>2070000</v>
      </c>
      <c r="G39">
        <v>131167</v>
      </c>
      <c r="H39">
        <v>2201167</v>
      </c>
      <c r="I39">
        <v>546.19528539999999</v>
      </c>
      <c r="J39">
        <v>95507</v>
      </c>
      <c r="K39" s="2">
        <v>253</v>
      </c>
      <c r="L39" t="b">
        <v>1</v>
      </c>
      <c r="M39">
        <v>626356</v>
      </c>
      <c r="N39">
        <v>1021862</v>
      </c>
      <c r="O39">
        <v>395506</v>
      </c>
      <c r="P39">
        <v>784032</v>
      </c>
    </row>
    <row r="40" spans="1:16" x14ac:dyDescent="0.35">
      <c r="A40" t="s">
        <v>54</v>
      </c>
      <c r="B40" s="1">
        <v>0.10199999999999999</v>
      </c>
      <c r="C40" s="1">
        <v>6.4000000000000001E-2</v>
      </c>
      <c r="D40" s="1">
        <v>-3.7999999999999999E-2</v>
      </c>
      <c r="E40">
        <v>479000</v>
      </c>
      <c r="F40">
        <v>7502000</v>
      </c>
      <c r="G40">
        <v>412347</v>
      </c>
      <c r="H40">
        <v>7914347</v>
      </c>
      <c r="I40">
        <v>1652.2645090000001</v>
      </c>
      <c r="J40">
        <v>321345</v>
      </c>
      <c r="K40" s="2">
        <v>248</v>
      </c>
      <c r="L40" t="b">
        <v>1</v>
      </c>
      <c r="M40">
        <v>2386046</v>
      </c>
      <c r="N40">
        <v>2883114</v>
      </c>
      <c r="O40">
        <v>497068</v>
      </c>
      <c r="P40">
        <v>2588577</v>
      </c>
    </row>
    <row r="41" spans="1:16" x14ac:dyDescent="0.35">
      <c r="A41" t="s">
        <v>55</v>
      </c>
      <c r="B41" s="1">
        <v>0.122</v>
      </c>
      <c r="C41" s="1">
        <v>5.7000000000000002E-2</v>
      </c>
      <c r="D41" s="1">
        <v>-6.5000000000000002E-2</v>
      </c>
      <c r="E41">
        <v>68000</v>
      </c>
      <c r="F41">
        <v>597000</v>
      </c>
      <c r="G41">
        <v>35583</v>
      </c>
      <c r="H41">
        <v>632583</v>
      </c>
      <c r="I41">
        <v>930.26911759999996</v>
      </c>
      <c r="J41">
        <v>30015</v>
      </c>
      <c r="K41" s="2">
        <v>250</v>
      </c>
      <c r="L41" t="b">
        <v>1</v>
      </c>
      <c r="M41">
        <v>190833</v>
      </c>
      <c r="N41">
        <v>287173</v>
      </c>
      <c r="O41">
        <v>96340</v>
      </c>
      <c r="P41">
        <v>208324</v>
      </c>
    </row>
    <row r="42" spans="1:16" x14ac:dyDescent="0.35">
      <c r="A42" t="s">
        <v>56</v>
      </c>
      <c r="B42" s="1">
        <v>0.17499999999999999</v>
      </c>
      <c r="C42" s="1">
        <v>0.109</v>
      </c>
      <c r="D42" s="1">
        <v>-6.6000000000000003E-2</v>
      </c>
      <c r="E42">
        <v>317000</v>
      </c>
      <c r="F42">
        <v>2487000</v>
      </c>
      <c r="G42">
        <v>204846</v>
      </c>
      <c r="H42">
        <v>2691846</v>
      </c>
      <c r="I42">
        <v>849.16277600000001</v>
      </c>
      <c r="J42">
        <v>186345</v>
      </c>
      <c r="K42" s="2">
        <v>312</v>
      </c>
      <c r="L42" t="b">
        <v>0</v>
      </c>
      <c r="M42">
        <v>889744</v>
      </c>
      <c r="N42">
        <v>994804</v>
      </c>
      <c r="O42">
        <v>105060</v>
      </c>
      <c r="P42">
        <v>974114</v>
      </c>
    </row>
    <row r="43" spans="1:16" x14ac:dyDescent="0.35">
      <c r="A43" t="s">
        <v>57</v>
      </c>
      <c r="B43" s="1">
        <v>0.124</v>
      </c>
      <c r="C43" s="1">
        <v>0.10199999999999999</v>
      </c>
      <c r="D43" s="1">
        <v>-2.1999999999999999E-2</v>
      </c>
      <c r="E43">
        <v>19000</v>
      </c>
      <c r="F43">
        <v>449000</v>
      </c>
      <c r="G43">
        <v>24578</v>
      </c>
      <c r="H43">
        <v>473578</v>
      </c>
      <c r="I43">
        <v>2492.515789</v>
      </c>
      <c r="J43">
        <v>22005</v>
      </c>
      <c r="K43" s="2">
        <v>307</v>
      </c>
      <c r="L43" t="b">
        <v>0</v>
      </c>
      <c r="M43">
        <v>115501</v>
      </c>
      <c r="N43">
        <v>119835</v>
      </c>
      <c r="O43">
        <v>4334</v>
      </c>
      <c r="P43">
        <v>161464</v>
      </c>
    </row>
    <row r="44" spans="1:16" x14ac:dyDescent="0.35">
      <c r="A44" t="s">
        <v>58</v>
      </c>
      <c r="B44" s="1">
        <v>0.14399999999999999</v>
      </c>
      <c r="C44" s="1">
        <v>0.10299999999999999</v>
      </c>
      <c r="D44" s="1">
        <v>-4.1000000000000002E-2</v>
      </c>
      <c r="E44">
        <v>266000</v>
      </c>
      <c r="F44">
        <v>3369000</v>
      </c>
      <c r="G44">
        <v>231705</v>
      </c>
      <c r="H44">
        <v>3600705</v>
      </c>
      <c r="I44">
        <v>1353.648496</v>
      </c>
      <c r="J44">
        <v>203112</v>
      </c>
      <c r="K44" s="2">
        <v>299</v>
      </c>
      <c r="L44" t="b">
        <v>0</v>
      </c>
      <c r="M44">
        <v>1244516</v>
      </c>
      <c r="N44">
        <v>1627100</v>
      </c>
      <c r="O44">
        <v>382584</v>
      </c>
      <c r="P44">
        <v>1266920</v>
      </c>
    </row>
    <row r="45" spans="1:16" x14ac:dyDescent="0.35">
      <c r="A45" t="s">
        <v>59</v>
      </c>
      <c r="B45" s="1">
        <v>0.23699999999999999</v>
      </c>
      <c r="C45" s="1">
        <v>0.17100000000000001</v>
      </c>
      <c r="D45" s="1">
        <v>-6.6000000000000003E-2</v>
      </c>
      <c r="E45">
        <v>1781000</v>
      </c>
      <c r="F45">
        <v>13709000</v>
      </c>
      <c r="G45">
        <v>1092650</v>
      </c>
      <c r="H45">
        <v>14801650</v>
      </c>
      <c r="I45">
        <v>831.08646829999998</v>
      </c>
      <c r="J45">
        <v>913177</v>
      </c>
      <c r="K45" s="2">
        <v>271</v>
      </c>
      <c r="L45" t="b">
        <v>0</v>
      </c>
      <c r="M45">
        <v>4441605</v>
      </c>
      <c r="N45">
        <v>4770229</v>
      </c>
      <c r="O45">
        <v>328624</v>
      </c>
      <c r="P45">
        <v>3765946</v>
      </c>
    </row>
    <row r="46" spans="1:16" x14ac:dyDescent="0.35">
      <c r="A46" t="s">
        <v>60</v>
      </c>
      <c r="B46" s="1">
        <v>0.153</v>
      </c>
      <c r="C46" s="1">
        <v>0.105</v>
      </c>
      <c r="D46" s="1">
        <v>-4.8000000000000001E-2</v>
      </c>
      <c r="E46">
        <v>143000</v>
      </c>
      <c r="F46">
        <v>1897000</v>
      </c>
      <c r="G46">
        <v>164415</v>
      </c>
      <c r="H46">
        <v>2061415</v>
      </c>
      <c r="I46">
        <v>1441.548951</v>
      </c>
      <c r="J46">
        <v>145288</v>
      </c>
      <c r="K46" s="2">
        <v>187</v>
      </c>
      <c r="L46" t="b">
        <v>0</v>
      </c>
      <c r="M46">
        <v>294029</v>
      </c>
      <c r="N46">
        <v>314182</v>
      </c>
      <c r="O46">
        <v>20153</v>
      </c>
      <c r="P46">
        <v>358887</v>
      </c>
    </row>
    <row r="47" spans="1:16" x14ac:dyDescent="0.35">
      <c r="A47" t="s">
        <v>61</v>
      </c>
      <c r="B47" s="3">
        <v>0.08</v>
      </c>
      <c r="C47" s="1">
        <v>3.7999999999999999E-2</v>
      </c>
      <c r="D47" s="1">
        <v>-4.2000000000000003E-2</v>
      </c>
      <c r="E47">
        <v>26000</v>
      </c>
      <c r="F47">
        <v>345000</v>
      </c>
      <c r="G47">
        <v>27883</v>
      </c>
      <c r="H47">
        <v>372883</v>
      </c>
      <c r="I47">
        <v>1434.165385</v>
      </c>
      <c r="J47">
        <v>19575</v>
      </c>
      <c r="K47" s="2">
        <v>300</v>
      </c>
      <c r="L47" t="b">
        <v>1</v>
      </c>
      <c r="M47">
        <v>161081</v>
      </c>
      <c r="N47">
        <v>175597</v>
      </c>
      <c r="O47">
        <v>14516</v>
      </c>
      <c r="P47">
        <v>136021</v>
      </c>
    </row>
    <row r="48" spans="1:16" x14ac:dyDescent="0.35">
      <c r="A48" t="s">
        <v>62</v>
      </c>
      <c r="B48" s="1">
        <v>0.13100000000000001</v>
      </c>
      <c r="C48" s="1">
        <v>9.0999999999999998E-2</v>
      </c>
      <c r="D48" s="3">
        <v>-0.04</v>
      </c>
      <c r="E48">
        <v>327000</v>
      </c>
      <c r="F48">
        <v>4850000</v>
      </c>
      <c r="G48">
        <v>378838</v>
      </c>
      <c r="H48">
        <v>5228838</v>
      </c>
      <c r="I48">
        <v>1599.0330280000001</v>
      </c>
      <c r="J48">
        <v>319068</v>
      </c>
      <c r="K48" s="2">
        <v>276</v>
      </c>
      <c r="L48" t="b">
        <v>0</v>
      </c>
      <c r="M48">
        <v>935434</v>
      </c>
      <c r="N48">
        <v>988821</v>
      </c>
      <c r="O48">
        <v>53387</v>
      </c>
      <c r="P48">
        <v>1392261</v>
      </c>
    </row>
    <row r="49" spans="1:16" x14ac:dyDescent="0.35">
      <c r="A49" t="s">
        <v>63</v>
      </c>
      <c r="B49" s="1">
        <v>0.14199999999999999</v>
      </c>
      <c r="C49" s="1">
        <v>6.6000000000000003E-2</v>
      </c>
      <c r="D49" s="1">
        <v>-7.5999999999999998E-2</v>
      </c>
      <c r="E49">
        <v>537000</v>
      </c>
      <c r="F49">
        <v>3986000</v>
      </c>
      <c r="G49">
        <v>158245</v>
      </c>
      <c r="H49">
        <v>4144245</v>
      </c>
      <c r="I49">
        <v>771.74022349999996</v>
      </c>
      <c r="J49">
        <v>110476</v>
      </c>
      <c r="K49" s="2">
        <v>238</v>
      </c>
      <c r="L49" t="b">
        <v>1</v>
      </c>
      <c r="M49">
        <v>1117576</v>
      </c>
      <c r="N49">
        <v>1788536</v>
      </c>
      <c r="O49">
        <v>670960</v>
      </c>
      <c r="P49">
        <v>1238649</v>
      </c>
    </row>
    <row r="50" spans="1:16" x14ac:dyDescent="0.35">
      <c r="A50" t="s">
        <v>64</v>
      </c>
      <c r="B50" s="1">
        <v>0.14599999999999999</v>
      </c>
      <c r="C50" s="3">
        <v>0.06</v>
      </c>
      <c r="D50" s="1">
        <v>-8.5999999999999993E-2</v>
      </c>
      <c r="E50">
        <v>156000</v>
      </c>
      <c r="F50">
        <v>976000</v>
      </c>
      <c r="G50">
        <v>33235</v>
      </c>
      <c r="H50">
        <v>1009235</v>
      </c>
      <c r="I50">
        <v>646.94551279999996</v>
      </c>
      <c r="J50">
        <v>29163</v>
      </c>
      <c r="K50" s="2">
        <v>388</v>
      </c>
      <c r="L50" t="b">
        <v>1</v>
      </c>
      <c r="M50">
        <v>354544</v>
      </c>
      <c r="N50">
        <v>575645</v>
      </c>
      <c r="O50">
        <v>221101</v>
      </c>
      <c r="P50">
        <v>423500</v>
      </c>
    </row>
    <row r="51" spans="1:16" x14ac:dyDescent="0.35">
      <c r="A51" t="s">
        <v>65</v>
      </c>
      <c r="B51" s="1">
        <v>9.4E-2</v>
      </c>
      <c r="C51" s="1">
        <v>5.7000000000000002E-2</v>
      </c>
      <c r="D51" s="1">
        <v>-3.6999999999999998E-2</v>
      </c>
      <c r="E51">
        <v>211000</v>
      </c>
      <c r="F51">
        <v>3521000</v>
      </c>
      <c r="G51">
        <v>224208</v>
      </c>
      <c r="H51">
        <v>3745208</v>
      </c>
      <c r="I51">
        <v>1774.9800949999999</v>
      </c>
      <c r="J51">
        <v>190542</v>
      </c>
      <c r="K51" s="2">
        <v>332</v>
      </c>
      <c r="L51" t="b">
        <v>0</v>
      </c>
      <c r="M51">
        <v>985531</v>
      </c>
      <c r="N51">
        <v>1046897</v>
      </c>
      <c r="O51">
        <v>61366</v>
      </c>
      <c r="P51">
        <v>1084854</v>
      </c>
    </row>
    <row r="52" spans="1:16" x14ac:dyDescent="0.35">
      <c r="A52" t="s">
        <v>66</v>
      </c>
      <c r="B52" s="1">
        <v>0.14899999999999999</v>
      </c>
      <c r="C52" s="1">
        <v>0.115</v>
      </c>
      <c r="D52" s="1">
        <v>-3.4000000000000002E-2</v>
      </c>
      <c r="E52">
        <v>20000</v>
      </c>
      <c r="F52">
        <v>335000</v>
      </c>
      <c r="G52">
        <v>22076</v>
      </c>
      <c r="H52">
        <v>357076</v>
      </c>
      <c r="I52">
        <v>1785.38</v>
      </c>
      <c r="J52">
        <v>20313</v>
      </c>
      <c r="K52" s="2">
        <v>459</v>
      </c>
      <c r="L52" t="b">
        <v>0</v>
      </c>
      <c r="M52">
        <v>67518</v>
      </c>
      <c r="N52">
        <v>63583</v>
      </c>
      <c r="O52">
        <v>-3935</v>
      </c>
      <c r="P52">
        <v>99128</v>
      </c>
    </row>
    <row r="53" spans="1:16" x14ac:dyDescent="0.35">
      <c r="A53" t="s">
        <v>67</v>
      </c>
      <c r="B53" s="1">
        <v>0.155</v>
      </c>
      <c r="C53" s="1">
        <v>9.4E-2</v>
      </c>
      <c r="D53" s="1">
        <v>6.0999999999999999E-2</v>
      </c>
      <c r="E53">
        <v>19304000</v>
      </c>
      <c r="F53">
        <v>172292000</v>
      </c>
      <c r="G53">
        <v>11081330</v>
      </c>
      <c r="H53">
        <v>183373330</v>
      </c>
      <c r="I53">
        <v>949.92400540000006</v>
      </c>
      <c r="J53">
        <v>9389609</v>
      </c>
      <c r="K53" s="2">
        <v>291</v>
      </c>
      <c r="M53">
        <v>56392477</v>
      </c>
      <c r="N53">
        <v>73532931</v>
      </c>
      <c r="O53">
        <v>16106157</v>
      </c>
      <c r="P53">
        <v>57149984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Ademola Adedipe</dc:creator>
  <cp:lastModifiedBy>Ademola Adedipe</cp:lastModifiedBy>
  <dcterms:created xsi:type="dcterms:W3CDTF">2025-01-16T16:52:31Z</dcterms:created>
  <dcterms:modified xsi:type="dcterms:W3CDTF">2025-06-06T10:32:02Z</dcterms:modified>
</cp:coreProperties>
</file>